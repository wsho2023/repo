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VBA\Tenken\"/>
    </mc:Choice>
  </mc:AlternateContent>
  <xr:revisionPtr revIDLastSave="0" documentId="13_ncr:1_{325EE80E-A080-46C9-94DE-63EFDDC031BC}" xr6:coauthVersionLast="47" xr6:coauthVersionMax="47" xr10:uidLastSave="{00000000-0000-0000-0000-000000000000}"/>
  <bookViews>
    <workbookView xWindow="4545" yWindow="975" windowWidth="19830" windowHeight="12570" activeTab="3" xr2:uid="{87762AAE-AB31-494A-8DB6-CF176EFD0551}"/>
  </bookViews>
  <sheets>
    <sheet name="MAIN" sheetId="2" r:id="rId1"/>
    <sheet name="DATA" sheetId="3" state="hidden" r:id="rId2"/>
    <sheet name="設定" sheetId="4" r:id="rId3"/>
    <sheet name="更新履歴" sheetId="5" r:id="rId4"/>
  </sheets>
  <functionGroups builtInGroupCount="19"/>
  <definedNames>
    <definedName name="_xlnm._FilterDatabase" localSheetId="1" hidden="1">DATA!$A$1:$N$21</definedName>
    <definedName name="休日設定列">設定!$N:$N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6" i="4" l="1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K10" i="2"/>
  <c r="U4" i="2"/>
  <c r="B6" i="2"/>
  <c r="K14" i="2" l="1"/>
  <c r="C11" i="2"/>
  <c r="C15" i="2"/>
  <c r="F11" i="2"/>
  <c r="F15" i="2"/>
  <c r="K11" i="2"/>
  <c r="K15" i="2"/>
  <c r="C12" i="2"/>
  <c r="C16" i="2"/>
  <c r="F12" i="2"/>
  <c r="F16" i="2"/>
  <c r="K12" i="2"/>
  <c r="K16" i="2"/>
  <c r="C9" i="2"/>
  <c r="C13" i="2"/>
  <c r="F9" i="2"/>
  <c r="F13" i="2"/>
  <c r="K9" i="2"/>
  <c r="K13" i="2"/>
  <c r="C10" i="2"/>
  <c r="C14" i="2"/>
  <c r="F10" i="2"/>
  <c r="F14" i="2"/>
  <c r="B3" i="2"/>
  <c r="R6" i="2" l="1"/>
  <c r="R8" i="2" s="1"/>
  <c r="AQ6" i="2"/>
  <c r="AQ8" i="2" s="1"/>
  <c r="AP6" i="2"/>
  <c r="AP8" i="2" s="1"/>
  <c r="AO6" i="2"/>
  <c r="AO8" i="2" s="1"/>
  <c r="AN6" i="2"/>
  <c r="AN8" i="2" s="1"/>
  <c r="AM6" i="2"/>
  <c r="AM8" i="2" s="1"/>
  <c r="AL6" i="2"/>
  <c r="AL8" i="2" s="1"/>
  <c r="AK6" i="2"/>
  <c r="AK8" i="2" s="1"/>
  <c r="AJ6" i="2"/>
  <c r="AJ8" i="2" s="1"/>
  <c r="AI6" i="2"/>
  <c r="AI8" i="2" s="1"/>
  <c r="AH6" i="2"/>
  <c r="AH8" i="2" s="1"/>
  <c r="AG6" i="2"/>
  <c r="AG8" i="2" s="1"/>
  <c r="AF6" i="2"/>
  <c r="AF8" i="2" s="1"/>
  <c r="AE6" i="2"/>
  <c r="AE8" i="2" s="1"/>
  <c r="AD6" i="2"/>
  <c r="AD8" i="2" s="1"/>
  <c r="AC6" i="2"/>
  <c r="AC8" i="2" s="1"/>
  <c r="AB6" i="2"/>
  <c r="AB8" i="2" s="1"/>
  <c r="AA6" i="2"/>
  <c r="AA8" i="2" s="1"/>
  <c r="Z6" i="2"/>
  <c r="Z8" i="2" s="1"/>
  <c r="Y6" i="2"/>
  <c r="Y8" i="2" s="1"/>
  <c r="X6" i="2"/>
  <c r="X8" i="2" s="1"/>
  <c r="W6" i="2"/>
  <c r="W8" i="2" s="1"/>
  <c r="V6" i="2"/>
  <c r="V8" i="2" s="1"/>
  <c r="U6" i="2"/>
  <c r="U8" i="2" s="1"/>
  <c r="T6" i="2"/>
  <c r="T8" i="2" s="1"/>
  <c r="S6" i="2"/>
  <c r="S8" i="2" s="1"/>
  <c r="Q6" i="2"/>
  <c r="Q8" i="2" s="1"/>
  <c r="P6" i="2"/>
  <c r="P8" i="2" s="1"/>
  <c r="O6" i="2"/>
  <c r="O8" i="2" s="1"/>
  <c r="N6" i="2"/>
  <c r="N8" i="2" s="1"/>
  <c r="M6" i="2"/>
  <c r="M8" i="2" s="1"/>
  <c r="B10" i="2"/>
  <c r="B11" i="2" l="1"/>
  <c r="B12" i="2" l="1"/>
  <c r="B13" i="2" l="1"/>
  <c r="B14" i="2" l="1"/>
  <c r="B15" i="2" l="1"/>
  <c r="B16" i="2" l="1"/>
  <c r="B17" i="2" l="1"/>
  <c r="K17" i="2" l="1"/>
  <c r="C17" i="2"/>
  <c r="B18" i="2"/>
  <c r="F17" i="2"/>
  <c r="F18" i="2" l="1"/>
  <c r="C18" i="2"/>
  <c r="K18" i="2"/>
</calcChain>
</file>

<file path=xl/sharedStrings.xml><?xml version="1.0" encoding="utf-8"?>
<sst xmlns="http://schemas.openxmlformats.org/spreadsheetml/2006/main" count="417" uniqueCount="76">
  <si>
    <t>システム課</t>
    <rPh sb="4" eb="5">
      <t>カ</t>
    </rPh>
    <phoneticPr fontId="1"/>
  </si>
  <si>
    <t>工程名</t>
    <rPh sb="0" eb="3">
      <t>コウテイメイ</t>
    </rPh>
    <phoneticPr fontId="1"/>
  </si>
  <si>
    <t>工程1</t>
    <rPh sb="0" eb="2">
      <t>コウテイ</t>
    </rPh>
    <phoneticPr fontId="1"/>
  </si>
  <si>
    <t>工程2</t>
    <rPh sb="0" eb="1">
      <t>コウ</t>
    </rPh>
    <phoneticPr fontId="1"/>
  </si>
  <si>
    <t>工程3</t>
    <rPh sb="0" eb="2">
      <t>コウテイ</t>
    </rPh>
    <phoneticPr fontId="1"/>
  </si>
  <si>
    <t>工程4</t>
    <rPh sb="0" eb="2">
      <t>コウテイ</t>
    </rPh>
    <phoneticPr fontId="1"/>
  </si>
  <si>
    <t>設備名</t>
    <rPh sb="0" eb="3">
      <t>セツビメイ</t>
    </rPh>
    <phoneticPr fontId="1"/>
  </si>
  <si>
    <t>クレーン1</t>
    <phoneticPr fontId="1"/>
  </si>
  <si>
    <t>クレーン2</t>
    <phoneticPr fontId="1"/>
  </si>
  <si>
    <t>クレーン3</t>
    <phoneticPr fontId="1"/>
  </si>
  <si>
    <t>クレーン4</t>
    <phoneticPr fontId="1"/>
  </si>
  <si>
    <t>年</t>
    <rPh sb="0" eb="1">
      <t>ネン</t>
    </rPh>
    <phoneticPr fontId="1"/>
  </si>
  <si>
    <t>月度</t>
    <rPh sb="0" eb="2">
      <t>ゲツド</t>
    </rPh>
    <phoneticPr fontId="1"/>
  </si>
  <si>
    <t>建屋</t>
    <rPh sb="0" eb="2">
      <t>タテヤ</t>
    </rPh>
    <phoneticPr fontId="1"/>
  </si>
  <si>
    <t>設備NO.</t>
  </si>
  <si>
    <t>設備NO.</t>
    <rPh sb="0" eb="2">
      <t>セツビ</t>
    </rPh>
    <phoneticPr fontId="1"/>
  </si>
  <si>
    <t>頻度</t>
    <rPh sb="0" eb="2">
      <t>ヒンド</t>
    </rPh>
    <phoneticPr fontId="1"/>
  </si>
  <si>
    <t>NO.</t>
    <phoneticPr fontId="1"/>
  </si>
  <si>
    <t>点検箇所</t>
    <rPh sb="0" eb="4">
      <t>テンケンカショ</t>
    </rPh>
    <phoneticPr fontId="1"/>
  </si>
  <si>
    <t>点検項目</t>
    <rPh sb="0" eb="4">
      <t>テンケンコウモク</t>
    </rPh>
    <phoneticPr fontId="1"/>
  </si>
  <si>
    <t>頻度</t>
    <rPh sb="0" eb="1">
      <t>ヒン</t>
    </rPh>
    <rPh sb="1" eb="2">
      <t>ド</t>
    </rPh>
    <phoneticPr fontId="1"/>
  </si>
  <si>
    <t>点検者</t>
    <rPh sb="0" eb="3">
      <t>テンケンシャ</t>
    </rPh>
    <phoneticPr fontId="1"/>
  </si>
  <si>
    <t>点検確認者</t>
    <rPh sb="0" eb="5">
      <t>テンケンカクニンシャ</t>
    </rPh>
    <phoneticPr fontId="1"/>
  </si>
  <si>
    <t>設備日常点検表</t>
    <rPh sb="0" eb="2">
      <t>セツビ</t>
    </rPh>
    <rPh sb="2" eb="4">
      <t>ニチジョウ</t>
    </rPh>
    <rPh sb="4" eb="6">
      <t>テンケン</t>
    </rPh>
    <rPh sb="6" eb="7">
      <t>ヒョウ</t>
    </rPh>
    <phoneticPr fontId="1"/>
  </si>
  <si>
    <t>ペンダントスイッチ</t>
  </si>
  <si>
    <t>ペンダントスイッチ</t>
    <phoneticPr fontId="1"/>
  </si>
  <si>
    <t>キャプタイヤコード</t>
    <phoneticPr fontId="1"/>
  </si>
  <si>
    <t>クラブ電源コード</t>
    <rPh sb="3" eb="5">
      <t>デンゲン</t>
    </rPh>
    <phoneticPr fontId="1"/>
  </si>
  <si>
    <t>本体</t>
    <rPh sb="0" eb="2">
      <t>ホンタイ</t>
    </rPh>
    <phoneticPr fontId="1"/>
  </si>
  <si>
    <t>リミットスイッチ</t>
    <phoneticPr fontId="1"/>
  </si>
  <si>
    <t>ブレーキ</t>
    <phoneticPr fontId="1"/>
  </si>
  <si>
    <t>フックシープ</t>
    <phoneticPr fontId="1"/>
  </si>
  <si>
    <t>ワイヤーロープ</t>
    <phoneticPr fontId="1"/>
  </si>
  <si>
    <t>点検設備</t>
    <rPh sb="0" eb="2">
      <t>テンケン</t>
    </rPh>
    <rPh sb="2" eb="4">
      <t>セツビ</t>
    </rPh>
    <phoneticPr fontId="1"/>
  </si>
  <si>
    <t>点検箇所</t>
    <rPh sb="2" eb="4">
      <t>カショ</t>
    </rPh>
    <phoneticPr fontId="1"/>
  </si>
  <si>
    <t>点検項目</t>
    <rPh sb="2" eb="4">
      <t>コウモク</t>
    </rPh>
    <phoneticPr fontId="1"/>
  </si>
  <si>
    <t>NO</t>
    <phoneticPr fontId="1"/>
  </si>
  <si>
    <t>結合</t>
    <rPh sb="0" eb="2">
      <t>ケツゴウ</t>
    </rPh>
    <phoneticPr fontId="1"/>
  </si>
  <si>
    <t>1回/日</t>
    <rPh sb="1" eb="2">
      <t>カイ</t>
    </rPh>
    <rPh sb="3" eb="4">
      <t>ニチ</t>
    </rPh>
    <phoneticPr fontId="1"/>
  </si>
  <si>
    <t>-</t>
    <phoneticPr fontId="1"/>
  </si>
  <si>
    <t>承認</t>
    <rPh sb="0" eb="2">
      <t>ショウニン</t>
    </rPh>
    <phoneticPr fontId="1"/>
  </si>
  <si>
    <t>確認</t>
    <rPh sb="0" eb="2">
      <t>カクニン</t>
    </rPh>
    <phoneticPr fontId="1"/>
  </si>
  <si>
    <t>No.</t>
    <phoneticPr fontId="1"/>
  </si>
  <si>
    <t>異常処置者</t>
    <rPh sb="0" eb="2">
      <t>イジョウ</t>
    </rPh>
    <rPh sb="2" eb="4">
      <t>ショチ</t>
    </rPh>
    <rPh sb="4" eb="5">
      <t>シャ</t>
    </rPh>
    <phoneticPr fontId="1"/>
  </si>
  <si>
    <t>異常処置確認者</t>
    <rPh sb="0" eb="2">
      <t>イジョウ</t>
    </rPh>
    <rPh sb="2" eb="4">
      <t>ショチ</t>
    </rPh>
    <rPh sb="4" eb="6">
      <t>カクニン</t>
    </rPh>
    <rPh sb="6" eb="7">
      <t>シャ</t>
    </rPh>
    <phoneticPr fontId="1"/>
  </si>
  <si>
    <t>エアーホイスト</t>
    <phoneticPr fontId="1"/>
  </si>
  <si>
    <t>エアーホース</t>
    <phoneticPr fontId="1"/>
  </si>
  <si>
    <t>エアーレギュレーター</t>
    <phoneticPr fontId="1"/>
  </si>
  <si>
    <t>フック・シープ</t>
    <phoneticPr fontId="1"/>
  </si>
  <si>
    <t>フック・シープには破損はないか</t>
    <rPh sb="9" eb="11">
      <t>ハソン</t>
    </rPh>
    <phoneticPr fontId="1"/>
  </si>
  <si>
    <t>ワイヤーロープ、チェーン</t>
    <phoneticPr fontId="1"/>
  </si>
  <si>
    <t>ワイヤーロープ、チェーンに破損はないか</t>
    <rPh sb="13" eb="15">
      <t>ハソン</t>
    </rPh>
    <phoneticPr fontId="1"/>
  </si>
  <si>
    <t>チェーンリング</t>
    <phoneticPr fontId="1"/>
  </si>
  <si>
    <t>チェーンリングに破損はないか</t>
    <rPh sb="8" eb="10">
      <t>ハソン</t>
    </rPh>
    <phoneticPr fontId="1"/>
  </si>
  <si>
    <t>各部に異常音・振動はないか</t>
    <rPh sb="0" eb="2">
      <t>カクブ</t>
    </rPh>
    <rPh sb="3" eb="5">
      <t>イジョウ</t>
    </rPh>
    <rPh sb="5" eb="6">
      <t>オン</t>
    </rPh>
    <rPh sb="7" eb="9">
      <t>シンドウ</t>
    </rPh>
    <phoneticPr fontId="1"/>
  </si>
  <si>
    <t>上下作動は円滑か</t>
    <rPh sb="0" eb="2">
      <t>ジョウゲ</t>
    </rPh>
    <rPh sb="2" eb="4">
      <t>サドウ</t>
    </rPh>
    <rPh sb="5" eb="7">
      <t>エンカツ</t>
    </rPh>
    <phoneticPr fontId="1"/>
  </si>
  <si>
    <t>ペンダントスイッチの不備はないか</t>
    <rPh sb="10" eb="12">
      <t>フビ</t>
    </rPh>
    <phoneticPr fontId="1"/>
  </si>
  <si>
    <t>エアーホースに破損はないか</t>
    <rPh sb="7" eb="9">
      <t>ハソン</t>
    </rPh>
    <phoneticPr fontId="1"/>
  </si>
  <si>
    <t>エアーレギュレーターの圧力は規定範囲か</t>
    <rPh sb="11" eb="13">
      <t>アツリョク</t>
    </rPh>
    <rPh sb="14" eb="16">
      <t>キテイ</t>
    </rPh>
    <rPh sb="16" eb="18">
      <t>ハンイ</t>
    </rPh>
    <phoneticPr fontId="1"/>
  </si>
  <si>
    <t>エアーホイスト</t>
  </si>
  <si>
    <t>設備</t>
    <rPh sb="0" eb="2">
      <t>セツビ</t>
    </rPh>
    <phoneticPr fontId="1"/>
  </si>
  <si>
    <t>クレーン</t>
  </si>
  <si>
    <t>点検項目マスタ</t>
    <rPh sb="0" eb="4">
      <t>テンケンコウモク</t>
    </rPh>
    <phoneticPr fontId="1"/>
  </si>
  <si>
    <t>休日(土日以外)マスタ</t>
    <rPh sb="0" eb="2">
      <t>キュウジツ</t>
    </rPh>
    <rPh sb="3" eb="5">
      <t>ドニチ</t>
    </rPh>
    <rPh sb="5" eb="7">
      <t>イガイ</t>
    </rPh>
    <phoneticPr fontId="1"/>
  </si>
  <si>
    <t>※文字長が長い</t>
    <rPh sb="1" eb="4">
      <t>モジチョウ</t>
    </rPh>
    <rPh sb="5" eb="6">
      <t>ナガ</t>
    </rPh>
    <phoneticPr fontId="1"/>
  </si>
  <si>
    <t>と電子印から</t>
    <rPh sb="1" eb="4">
      <t>デンシイン</t>
    </rPh>
    <phoneticPr fontId="1"/>
  </si>
  <si>
    <t>はみ出ます。</t>
    <rPh sb="2" eb="3">
      <t>デ</t>
    </rPh>
    <phoneticPr fontId="1"/>
  </si>
  <si>
    <t>Ver.</t>
    <phoneticPr fontId="1"/>
  </si>
  <si>
    <t>電子印 組織名</t>
    <phoneticPr fontId="1"/>
  </si>
  <si>
    <t>設備点検リストマスタ</t>
    <rPh sb="0" eb="4">
      <t>セツビテンケン</t>
    </rPh>
    <phoneticPr fontId="1"/>
  </si>
  <si>
    <t>UserForm1</t>
  </si>
  <si>
    <t>Deleteボタン追加</t>
  </si>
  <si>
    <t>点検確認</t>
  </si>
  <si>
    <t>Sub マクロ_点検確認()</t>
  </si>
  <si>
    <t>電子印</t>
  </si>
  <si>
    <t>設定更新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</si>
</sst>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d"/>
    <numFmt numFmtId="177" formatCode="yyyy/mm/dd"/>
  </numFmts>
  <fonts count="9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0"/>
      <name val="Meiryo UI"/>
      <family val="2"/>
      <charset val="128"/>
    </font>
    <font>
      <sz val="14"/>
      <color rgb="FF000000"/>
      <name val="Meiryo UI"/>
      <family val="3"/>
      <charset val="128"/>
    </font>
    <font>
      <sz val="12"/>
      <color theme="1"/>
      <name val="Meiryo UI"/>
      <family val="2"/>
      <charset val="128"/>
    </font>
    <font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0"/>
      <color theme="1"/>
      <name val="Meiryo UI"/>
      <family val="2"/>
      <charset val="128"/>
    </font>
    <font>
      <sz val="10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6">
    <xf numFmtId="0" fontId="0" fillId="0" borderId="0" xfId="0">
      <alignment vertical="center"/>
    </xf>
    <xf numFmtId="0" fontId="2" fillId="0" borderId="0" xfId="0" applyFont="1">
      <alignment vertical="center"/>
    </xf>
    <xf numFmtId="176" fontId="0" fillId="3" borderId="12" xfId="0" applyNumberForma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4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5" fillId="3" borderId="7" xfId="0" applyFont="1" applyFill="1" applyBorder="1">
      <alignment vertical="center"/>
    </xf>
    <xf numFmtId="0" fontId="5" fillId="3" borderId="8" xfId="0" applyFont="1" applyFill="1" applyBorder="1">
      <alignment vertical="center"/>
    </xf>
    <xf numFmtId="0" fontId="4" fillId="3" borderId="7" xfId="0" applyFont="1" applyFill="1" applyBorder="1">
      <alignment vertical="center"/>
    </xf>
    <xf numFmtId="14" fontId="2" fillId="0" borderId="0" xfId="0" applyNumberFormat="1" applyFont="1">
      <alignment vertical="center"/>
    </xf>
    <xf numFmtId="0" fontId="5" fillId="2" borderId="37" xfId="0" applyFont="1" applyFill="1" applyBorder="1" applyProtection="1">
      <alignment vertical="center"/>
      <protection locked="0"/>
    </xf>
    <xf numFmtId="0" fontId="0" fillId="4" borderId="5" xfId="0" applyFill="1" applyBorder="1">
      <alignment vertical="center"/>
    </xf>
    <xf numFmtId="0" fontId="0" fillId="5" borderId="5" xfId="0" applyFill="1" applyBorder="1">
      <alignment vertical="center"/>
    </xf>
    <xf numFmtId="0" fontId="0" fillId="4" borderId="5" xfId="0" applyFill="1" applyBorder="1" applyAlignment="1">
      <alignment horizontal="center" vertical="center" shrinkToFit="1"/>
    </xf>
    <xf numFmtId="0" fontId="0" fillId="4" borderId="32" xfId="0" applyFill="1" applyBorder="1" applyAlignment="1">
      <alignment horizontal="center" vertical="center" shrinkToFit="1"/>
    </xf>
    <xf numFmtId="0" fontId="0" fillId="0" borderId="5" xfId="0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5" borderId="21" xfId="0" applyFill="1" applyBorder="1">
      <alignment vertical="center"/>
    </xf>
    <xf numFmtId="0" fontId="0" fillId="5" borderId="5" xfId="0" applyFill="1" applyBorder="1" applyAlignment="1">
      <alignment horizontal="center" vertical="center" shrinkToFit="1"/>
    </xf>
    <xf numFmtId="0" fontId="0" fillId="5" borderId="32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vertical="center" shrinkToFit="1"/>
    </xf>
    <xf numFmtId="0" fontId="0" fillId="6" borderId="5" xfId="0" applyFill="1" applyBorder="1">
      <alignment vertical="center"/>
    </xf>
    <xf numFmtId="0" fontId="0" fillId="6" borderId="5" xfId="0" applyFill="1" applyBorder="1" applyAlignment="1">
      <alignment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left" vertical="center"/>
    </xf>
    <xf numFmtId="0" fontId="0" fillId="4" borderId="21" xfId="0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 shrinkToFit="1"/>
    </xf>
    <xf numFmtId="0" fontId="0" fillId="4" borderId="33" xfId="0" applyFill="1" applyBorder="1" applyAlignment="1">
      <alignment horizontal="center" vertical="center" shrinkToFit="1"/>
    </xf>
    <xf numFmtId="0" fontId="0" fillId="4" borderId="1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177" fontId="0" fillId="3" borderId="5" xfId="0" applyNumberFormat="1" applyFill="1" applyBorder="1">
      <alignment vertical="center"/>
    </xf>
    <xf numFmtId="0" fontId="0" fillId="0" borderId="34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20" xfId="0" applyBorder="1" applyAlignment="1">
      <alignment horizontal="right" vertical="center" shrinkToFit="1"/>
    </xf>
    <xf numFmtId="0" fontId="0" fillId="0" borderId="5" xfId="0" applyBorder="1" applyAlignment="1">
      <alignment horizontal="right" vertical="center" shrinkToFit="1"/>
    </xf>
    <xf numFmtId="0" fontId="0" fillId="0" borderId="31" xfId="0" applyBorder="1" applyAlignment="1">
      <alignment horizontal="right" vertical="center" shrinkToFit="1"/>
    </xf>
    <xf numFmtId="0" fontId="0" fillId="0" borderId="32" xfId="0" applyBorder="1" applyAlignment="1">
      <alignment horizontal="right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3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locked="0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2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2" xfId="0" applyBorder="1" applyAlignment="1">
      <alignment horizontal="right" vertical="center" wrapText="1"/>
    </xf>
    <xf numFmtId="0" fontId="0" fillId="0" borderId="18" xfId="0" applyBorder="1" applyAlignment="1">
      <alignment horizontal="right" vertical="center" wrapText="1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FFCCFF"/>
      <color rgb="FF99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190500</xdr:rowOff>
        </xdr:from>
        <xdr:to>
          <xdr:col>14</xdr:col>
          <xdr:colOff>171450</xdr:colOff>
          <xdr:row>2</xdr:row>
          <xdr:rowOff>57150</xdr:rowOff>
        </xdr:to>
        <xdr:sp macro="" textlink="">
          <xdr:nvSpPr>
            <xdr:cNvPr id="2057" name="検索ボタン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0</xdr:row>
          <xdr:rowOff>190500</xdr:rowOff>
        </xdr:from>
        <xdr:to>
          <xdr:col>17</xdr:col>
          <xdr:colOff>314325</xdr:colOff>
          <xdr:row>2</xdr:row>
          <xdr:rowOff>57150</xdr:rowOff>
        </xdr:to>
        <xdr:sp macro="" textlink="">
          <xdr:nvSpPr>
            <xdr:cNvPr id="2058" name="クリアボタン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285750</xdr:colOff>
          <xdr:row>0</xdr:row>
          <xdr:rowOff>200025</xdr:rowOff>
        </xdr:from>
        <xdr:to>
          <xdr:col>33</xdr:col>
          <xdr:colOff>19050</xdr:colOff>
          <xdr:row>2</xdr:row>
          <xdr:rowOff>66675</xdr:rowOff>
        </xdr:to>
        <xdr:sp macro="" textlink="">
          <xdr:nvSpPr>
            <xdr:cNvPr id="2061" name="承認ボタン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承認印作成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285750</xdr:colOff>
          <xdr:row>2</xdr:row>
          <xdr:rowOff>104775</xdr:rowOff>
        </xdr:from>
        <xdr:to>
          <xdr:col>33</xdr:col>
          <xdr:colOff>19050</xdr:colOff>
          <xdr:row>3</xdr:row>
          <xdr:rowOff>190500</xdr:rowOff>
        </xdr:to>
        <xdr:sp macro="" textlink="">
          <xdr:nvSpPr>
            <xdr:cNvPr id="2062" name="確認ボタン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承認印削除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114300</xdr:colOff>
          <xdr:row>0</xdr:row>
          <xdr:rowOff>190500</xdr:rowOff>
        </xdr:from>
        <xdr:to>
          <xdr:col>36</xdr:col>
          <xdr:colOff>171450</xdr:colOff>
          <xdr:row>2</xdr:row>
          <xdr:rowOff>57150</xdr:rowOff>
        </xdr:to>
        <xdr:sp macro="" textlink="">
          <xdr:nvSpPr>
            <xdr:cNvPr id="2065" name="承認ボタン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確認印作成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114300</xdr:colOff>
          <xdr:row>2</xdr:row>
          <xdr:rowOff>104775</xdr:rowOff>
        </xdr:from>
        <xdr:to>
          <xdr:col>36</xdr:col>
          <xdr:colOff>171450</xdr:colOff>
          <xdr:row>3</xdr:row>
          <xdr:rowOff>190500</xdr:rowOff>
        </xdr:to>
        <xdr:sp macro="" textlink="">
          <xdr:nvSpPr>
            <xdr:cNvPr id="2066" name="確認ボタン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確認印削除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28575</xdr:colOff>
      <xdr:row>0</xdr:row>
      <xdr:rowOff>142852</xdr:rowOff>
    </xdr:from>
    <xdr:to>
      <xdr:col>36</xdr:col>
      <xdr:colOff>230185</xdr:colOff>
      <xdr:row>5</xdr:row>
      <xdr:rowOff>152400</xdr:rowOff>
    </xdr:to>
    <xdr:sp macro="" textlink="">
      <xdr:nvSpPr>
        <xdr:cNvPr id="2072" name="正方形/長方形 2071">
          <a:extLst>
            <a:ext uri="{FF2B5EF4-FFF2-40B4-BE49-F238E27FC236}">
              <a16:creationId xmlns:a16="http://schemas.microsoft.com/office/drawing/2014/main" id="{0948C9FD-3157-4BF4-9F36-5BB4DE6BCFBE}"/>
            </a:ext>
          </a:extLst>
        </xdr:cNvPr>
        <xdr:cNvSpPr/>
      </xdr:nvSpPr>
      <xdr:spPr>
        <a:xfrm>
          <a:off x="7934325" y="142852"/>
          <a:ext cx="3763960" cy="108587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 fPrintsWithSheet="0"/>
  </xdr:twoCellAnchor>
  <xdr:twoCellAnchor>
    <xdr:from>
      <xdr:col>11</xdr:col>
      <xdr:colOff>53134</xdr:colOff>
      <xdr:row>0</xdr:row>
      <xdr:rowOff>140727</xdr:rowOff>
    </xdr:from>
    <xdr:to>
      <xdr:col>21</xdr:col>
      <xdr:colOff>161924</xdr:colOff>
      <xdr:row>2</xdr:row>
      <xdr:rowOff>93702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B26629E2-354E-7F47-77CF-9253852B6643}"/>
            </a:ext>
          </a:extLst>
        </xdr:cNvPr>
        <xdr:cNvSpPr/>
      </xdr:nvSpPr>
      <xdr:spPr>
        <a:xfrm>
          <a:off x="3434509" y="140727"/>
          <a:ext cx="3337765" cy="381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123825</xdr:colOff>
          <xdr:row>2</xdr:row>
          <xdr:rowOff>104775</xdr:rowOff>
        </xdr:from>
        <xdr:to>
          <xdr:col>28</xdr:col>
          <xdr:colOff>171450</xdr:colOff>
          <xdr:row>3</xdr:row>
          <xdr:rowOff>190500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異常処置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123825</xdr:colOff>
          <xdr:row>0</xdr:row>
          <xdr:rowOff>190500</xdr:rowOff>
        </xdr:from>
        <xdr:to>
          <xdr:col>28</xdr:col>
          <xdr:colOff>180975</xdr:colOff>
          <xdr:row>2</xdr:row>
          <xdr:rowOff>57150</xdr:rowOff>
        </xdr:to>
        <xdr:sp macro="" textlink="">
          <xdr:nvSpPr>
            <xdr:cNvPr id="2076" name="検索ボタン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点検確認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114300</xdr:colOff>
          <xdr:row>4</xdr:row>
          <xdr:rowOff>28575</xdr:rowOff>
        </xdr:from>
        <xdr:to>
          <xdr:col>28</xdr:col>
          <xdr:colOff>171450</xdr:colOff>
          <xdr:row>5</xdr:row>
          <xdr:rowOff>104775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処置確認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114300</xdr:colOff>
          <xdr:row>4</xdr:row>
          <xdr:rowOff>28575</xdr:rowOff>
        </xdr:from>
        <xdr:to>
          <xdr:col>36</xdr:col>
          <xdr:colOff>161925</xdr:colOff>
          <xdr:row>5</xdr:row>
          <xdr:rowOff>104775</xdr:rowOff>
        </xdr:to>
        <xdr:sp macro="" textlink="">
          <xdr:nvSpPr>
            <xdr:cNvPr id="2081" name="Button 33" descr="設定更新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設定更新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0</xdr:row>
          <xdr:rowOff>180975</xdr:rowOff>
        </xdr:from>
        <xdr:to>
          <xdr:col>21</xdr:col>
          <xdr:colOff>114300</xdr:colOff>
          <xdr:row>2</xdr:row>
          <xdr:rowOff>47625</xdr:rowOff>
        </xdr:to>
        <xdr:sp macro="" textlink="">
          <xdr:nvSpPr>
            <xdr:cNvPr id="2083" name="クリアボタン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画面印刷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kumimoji="1" sz="1100" kern="12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4A0B-000D-4A70-B101-43F03704DB62}">
  <sheetPr codeName="sheet1">
    <pageSetUpPr fitToPage="1"/>
  </sheetPr>
  <dimension ref="B1:AQ23"/>
  <sheetViews>
    <sheetView showGridLines="0" topLeftCell="H1" zoomScaleNormal="100" workbookViewId="0">
      <pane ySplit="8" topLeftCell="A19" activePane="bottomLeft" state="frozen"/>
      <selection pane="bottomLeft" activeCell="B21" sqref="B21:AQ21"/>
    </sheetView>
  </sheetViews>
  <sheetFormatPr defaultColWidth="3.77734375" defaultRowHeight="15.75" x14ac:dyDescent="0.25"/>
  <cols>
    <col min="1" max="1" width="1.6640625" customWidth="1"/>
    <col min="13" max="13" width="3.6640625" customWidth="1"/>
    <col min="18" max="20" width="3.77734375" customWidth="1"/>
  </cols>
  <sheetData>
    <row r="1" spans="2:43" ht="16.5" thickBot="1" x14ac:dyDescent="0.3">
      <c r="AL1" s="32" t="s">
        <v>42</v>
      </c>
      <c r="AM1" s="86"/>
      <c r="AN1" s="87"/>
      <c r="AO1" s="87"/>
      <c r="AP1" s="87"/>
      <c r="AQ1" s="88"/>
    </row>
    <row r="2" spans="2:43" ht="17.25" thickBot="1" x14ac:dyDescent="0.3">
      <c r="B2" s="104">
        <v>2025</v>
      </c>
      <c r="C2" s="105"/>
      <c r="D2" s="15" t="s">
        <v>11</v>
      </c>
      <c r="E2" s="17">
        <v>2</v>
      </c>
      <c r="F2" s="13" t="s">
        <v>12</v>
      </c>
      <c r="G2" s="13"/>
      <c r="H2" s="13" t="s">
        <v>23</v>
      </c>
      <c r="I2" s="13"/>
      <c r="J2" s="13"/>
      <c r="K2" s="14"/>
      <c r="AL2" s="101" t="s">
        <v>40</v>
      </c>
      <c r="AM2" s="102"/>
      <c r="AN2" s="103"/>
      <c r="AO2" s="101" t="s">
        <v>41</v>
      </c>
      <c r="AP2" s="102"/>
      <c r="AQ2" s="103"/>
    </row>
    <row r="3" spans="2:43" ht="16.5" thickBot="1" x14ac:dyDescent="0.3">
      <c r="B3" s="1" t="str">
        <f>B2&amp;TEXT(E2,"00")</f>
        <v>202502</v>
      </c>
      <c r="AL3" s="94"/>
      <c r="AM3" s="95"/>
      <c r="AN3" s="96"/>
      <c r="AO3" s="94"/>
      <c r="AP3" s="95"/>
      <c r="AQ3" s="96"/>
    </row>
    <row r="4" spans="2:43" ht="17.25" thickBot="1" x14ac:dyDescent="0.3">
      <c r="B4" s="84" t="s">
        <v>13</v>
      </c>
      <c r="C4" s="85"/>
      <c r="D4" s="73"/>
      <c r="E4" s="74"/>
      <c r="F4" s="74"/>
      <c r="G4" s="74"/>
      <c r="H4" s="74"/>
      <c r="I4" s="74"/>
      <c r="J4" s="75"/>
      <c r="K4" s="84" t="s">
        <v>6</v>
      </c>
      <c r="L4" s="85"/>
      <c r="M4" s="85"/>
      <c r="N4" s="73" t="s">
        <v>59</v>
      </c>
      <c r="O4" s="74"/>
      <c r="P4" s="74"/>
      <c r="Q4" s="74"/>
      <c r="R4" s="74"/>
      <c r="S4" s="74"/>
      <c r="T4" s="75"/>
      <c r="U4" s="1" t="str">
        <f>VLOOKUP(N4,設定!D:E,2,FALSE)</f>
        <v>エアーホイスト</v>
      </c>
      <c r="AL4" s="55"/>
      <c r="AM4" s="97"/>
      <c r="AN4" s="56"/>
      <c r="AO4" s="55"/>
      <c r="AP4" s="97"/>
      <c r="AQ4" s="56"/>
    </row>
    <row r="5" spans="2:43" ht="17.25" thickBot="1" x14ac:dyDescent="0.3">
      <c r="B5" s="84" t="s">
        <v>1</v>
      </c>
      <c r="C5" s="85"/>
      <c r="D5" s="73" t="s">
        <v>4</v>
      </c>
      <c r="E5" s="74"/>
      <c r="F5" s="74"/>
      <c r="G5" s="74"/>
      <c r="H5" s="74"/>
      <c r="I5" s="74"/>
      <c r="J5" s="75"/>
      <c r="K5" s="84" t="s">
        <v>15</v>
      </c>
      <c r="L5" s="85"/>
      <c r="M5" s="85"/>
      <c r="N5" s="73"/>
      <c r="O5" s="74"/>
      <c r="P5" s="74"/>
      <c r="Q5" s="74"/>
      <c r="R5" s="74"/>
      <c r="S5" s="74"/>
      <c r="T5" s="75"/>
      <c r="AL5" s="98"/>
      <c r="AM5" s="99"/>
      <c r="AN5" s="100"/>
      <c r="AO5" s="98"/>
      <c r="AP5" s="99"/>
      <c r="AQ5" s="100"/>
    </row>
    <row r="6" spans="2:43" ht="16.5" thickBot="1" x14ac:dyDescent="0.3">
      <c r="B6" s="1">
        <f>COUNTIF(設定!H:H,MAIN!N4)</f>
        <v>8</v>
      </c>
      <c r="M6" s="1" t="str">
        <f>$B$2 &amp; "/" &amp; $E$2 &amp; "/" &amp; M7</f>
        <v>2025/2/1</v>
      </c>
      <c r="N6" s="1" t="str">
        <f t="shared" ref="N6:AQ6" si="0">$B$2 &amp; "/" &amp; $E$2 &amp; "/" &amp; N7</f>
        <v>2025/2/2</v>
      </c>
      <c r="O6" s="1" t="str">
        <f t="shared" si="0"/>
        <v>2025/2/3</v>
      </c>
      <c r="P6" s="1" t="str">
        <f t="shared" si="0"/>
        <v>2025/2/4</v>
      </c>
      <c r="Q6" s="1" t="str">
        <f t="shared" si="0"/>
        <v>2025/2/5</v>
      </c>
      <c r="R6" s="16" t="str">
        <f>$B$2 &amp; "/" &amp; $E$2 &amp; "/" &amp; R7</f>
        <v>2025/2/6</v>
      </c>
      <c r="S6" s="1" t="str">
        <f t="shared" si="0"/>
        <v>2025/2/7</v>
      </c>
      <c r="T6" s="1" t="str">
        <f t="shared" si="0"/>
        <v>2025/2/8</v>
      </c>
      <c r="U6" s="1" t="str">
        <f t="shared" si="0"/>
        <v>2025/2/9</v>
      </c>
      <c r="V6" s="1" t="str">
        <f t="shared" si="0"/>
        <v>2025/2/10</v>
      </c>
      <c r="W6" s="1" t="str">
        <f t="shared" si="0"/>
        <v>2025/2/11</v>
      </c>
      <c r="X6" s="1" t="str">
        <f t="shared" si="0"/>
        <v>2025/2/12</v>
      </c>
      <c r="Y6" s="1" t="str">
        <f t="shared" si="0"/>
        <v>2025/2/13</v>
      </c>
      <c r="Z6" s="1" t="str">
        <f t="shared" si="0"/>
        <v>2025/2/14</v>
      </c>
      <c r="AA6" s="1" t="str">
        <f t="shared" si="0"/>
        <v>2025/2/15</v>
      </c>
      <c r="AB6" s="1" t="str">
        <f t="shared" si="0"/>
        <v>2025/2/16</v>
      </c>
      <c r="AC6" s="1" t="str">
        <f t="shared" si="0"/>
        <v>2025/2/17</v>
      </c>
      <c r="AD6" s="1" t="str">
        <f t="shared" si="0"/>
        <v>2025/2/18</v>
      </c>
      <c r="AE6" s="1" t="str">
        <f t="shared" si="0"/>
        <v>2025/2/19</v>
      </c>
      <c r="AF6" s="1" t="str">
        <f t="shared" si="0"/>
        <v>2025/2/20</v>
      </c>
      <c r="AG6" s="1" t="str">
        <f t="shared" si="0"/>
        <v>2025/2/21</v>
      </c>
      <c r="AH6" s="1" t="str">
        <f t="shared" si="0"/>
        <v>2025/2/22</v>
      </c>
      <c r="AI6" s="1" t="str">
        <f t="shared" si="0"/>
        <v>2025/2/23</v>
      </c>
      <c r="AJ6" s="1" t="str">
        <f t="shared" si="0"/>
        <v>2025/2/24</v>
      </c>
      <c r="AK6" s="1" t="str">
        <f t="shared" si="0"/>
        <v>2025/2/25</v>
      </c>
      <c r="AL6" s="1" t="str">
        <f t="shared" si="0"/>
        <v>2025/2/26</v>
      </c>
      <c r="AM6" s="1" t="str">
        <f t="shared" si="0"/>
        <v>2025/2/27</v>
      </c>
      <c r="AN6" s="1" t="str">
        <f t="shared" si="0"/>
        <v>2025/2/28</v>
      </c>
      <c r="AO6" s="1" t="str">
        <f t="shared" si="0"/>
        <v>2025/2/29</v>
      </c>
      <c r="AP6" s="1" t="str">
        <f t="shared" si="0"/>
        <v>2025/2/30</v>
      </c>
      <c r="AQ6" s="1" t="str">
        <f t="shared" si="0"/>
        <v>2025/2/31</v>
      </c>
    </row>
    <row r="7" spans="2:43" ht="15.75" customHeight="1" x14ac:dyDescent="0.25">
      <c r="B7" s="76" t="s">
        <v>17</v>
      </c>
      <c r="C7" s="78" t="s">
        <v>18</v>
      </c>
      <c r="D7" s="79"/>
      <c r="E7" s="80"/>
      <c r="F7" s="78" t="s">
        <v>19</v>
      </c>
      <c r="G7" s="79"/>
      <c r="H7" s="79"/>
      <c r="I7" s="79"/>
      <c r="J7" s="80"/>
      <c r="K7" s="67" t="s">
        <v>20</v>
      </c>
      <c r="L7" s="68"/>
      <c r="M7" s="2">
        <v>1</v>
      </c>
      <c r="N7" s="3">
        <v>2</v>
      </c>
      <c r="O7" s="3">
        <v>3</v>
      </c>
      <c r="P7" s="3">
        <v>4</v>
      </c>
      <c r="Q7" s="3">
        <v>5</v>
      </c>
      <c r="R7" s="3">
        <v>6</v>
      </c>
      <c r="S7" s="3">
        <v>7</v>
      </c>
      <c r="T7" s="3">
        <v>8</v>
      </c>
      <c r="U7" s="3">
        <v>9</v>
      </c>
      <c r="V7" s="3">
        <v>10</v>
      </c>
      <c r="W7" s="3">
        <v>11</v>
      </c>
      <c r="X7" s="3">
        <v>12</v>
      </c>
      <c r="Y7" s="3">
        <v>13</v>
      </c>
      <c r="Z7" s="3">
        <v>14</v>
      </c>
      <c r="AA7" s="3">
        <v>15</v>
      </c>
      <c r="AB7" s="3">
        <v>16</v>
      </c>
      <c r="AC7" s="3">
        <v>17</v>
      </c>
      <c r="AD7" s="3">
        <v>18</v>
      </c>
      <c r="AE7" s="3">
        <v>19</v>
      </c>
      <c r="AF7" s="3">
        <v>20</v>
      </c>
      <c r="AG7" s="3">
        <v>21</v>
      </c>
      <c r="AH7" s="3">
        <v>22</v>
      </c>
      <c r="AI7" s="3">
        <v>23</v>
      </c>
      <c r="AJ7" s="3">
        <v>24</v>
      </c>
      <c r="AK7" s="3">
        <v>25</v>
      </c>
      <c r="AL7" s="3">
        <v>26</v>
      </c>
      <c r="AM7" s="3">
        <v>27</v>
      </c>
      <c r="AN7" s="3">
        <v>28</v>
      </c>
      <c r="AO7" s="3">
        <v>29</v>
      </c>
      <c r="AP7" s="3">
        <v>30</v>
      </c>
      <c r="AQ7" s="4">
        <v>31</v>
      </c>
    </row>
    <row r="8" spans="2:43" ht="16.5" thickBot="1" x14ac:dyDescent="0.3">
      <c r="B8" s="77"/>
      <c r="C8" s="81"/>
      <c r="D8" s="82"/>
      <c r="E8" s="83"/>
      <c r="F8" s="81"/>
      <c r="G8" s="82"/>
      <c r="H8" s="82"/>
      <c r="I8" s="82"/>
      <c r="J8" s="83"/>
      <c r="K8" s="69"/>
      <c r="L8" s="70"/>
      <c r="M8" s="5" t="str">
        <f>IF(LEN(TEXT(M6,"aaa"))=1,TEXT(M6,"aaa"),"")</f>
        <v>土</v>
      </c>
      <c r="N8" s="5" t="str">
        <f t="shared" ref="N8:AQ8" si="1">IF(LEN(TEXT(N6,"aaa"))=1,TEXT(N6,"aaa"),"")</f>
        <v>日</v>
      </c>
      <c r="O8" s="5" t="str">
        <f t="shared" si="1"/>
        <v>月</v>
      </c>
      <c r="P8" s="5" t="str">
        <f t="shared" si="1"/>
        <v>火</v>
      </c>
      <c r="Q8" s="5" t="str">
        <f t="shared" si="1"/>
        <v>水</v>
      </c>
      <c r="R8" s="5" t="str">
        <f t="shared" si="1"/>
        <v>木</v>
      </c>
      <c r="S8" s="5" t="str">
        <f t="shared" si="1"/>
        <v>金</v>
      </c>
      <c r="T8" s="5" t="str">
        <f t="shared" si="1"/>
        <v>土</v>
      </c>
      <c r="U8" s="5" t="str">
        <f t="shared" si="1"/>
        <v>日</v>
      </c>
      <c r="V8" s="5" t="str">
        <f t="shared" si="1"/>
        <v>月</v>
      </c>
      <c r="W8" s="5" t="str">
        <f t="shared" si="1"/>
        <v>火</v>
      </c>
      <c r="X8" s="5" t="str">
        <f t="shared" si="1"/>
        <v>水</v>
      </c>
      <c r="Y8" s="5" t="str">
        <f t="shared" si="1"/>
        <v>木</v>
      </c>
      <c r="Z8" s="5" t="str">
        <f t="shared" si="1"/>
        <v>金</v>
      </c>
      <c r="AA8" s="5" t="str">
        <f t="shared" si="1"/>
        <v>土</v>
      </c>
      <c r="AB8" s="5" t="str">
        <f t="shared" si="1"/>
        <v>日</v>
      </c>
      <c r="AC8" s="5" t="str">
        <f t="shared" si="1"/>
        <v>月</v>
      </c>
      <c r="AD8" s="5" t="str">
        <f t="shared" si="1"/>
        <v>火</v>
      </c>
      <c r="AE8" s="5" t="str">
        <f t="shared" si="1"/>
        <v>水</v>
      </c>
      <c r="AF8" s="5" t="str">
        <f t="shared" si="1"/>
        <v>木</v>
      </c>
      <c r="AG8" s="5" t="str">
        <f t="shared" si="1"/>
        <v>金</v>
      </c>
      <c r="AH8" s="5" t="str">
        <f t="shared" si="1"/>
        <v>土</v>
      </c>
      <c r="AI8" s="5" t="str">
        <f t="shared" si="1"/>
        <v>日</v>
      </c>
      <c r="AJ8" s="5" t="str">
        <f t="shared" si="1"/>
        <v>月</v>
      </c>
      <c r="AK8" s="5" t="str">
        <f t="shared" si="1"/>
        <v>火</v>
      </c>
      <c r="AL8" s="5" t="str">
        <f t="shared" si="1"/>
        <v>水</v>
      </c>
      <c r="AM8" s="5" t="str">
        <f t="shared" si="1"/>
        <v>木</v>
      </c>
      <c r="AN8" s="5" t="str">
        <f t="shared" si="1"/>
        <v>金</v>
      </c>
      <c r="AO8" s="5" t="str">
        <f t="shared" si="1"/>
        <v/>
      </c>
      <c r="AP8" s="5" t="str">
        <f t="shared" si="1"/>
        <v/>
      </c>
      <c r="AQ8" s="23" t="str">
        <f t="shared" si="1"/>
        <v/>
      </c>
    </row>
    <row r="9" spans="2:43" ht="30" customHeight="1" x14ac:dyDescent="0.25">
      <c r="B9" s="6">
        <v>1</v>
      </c>
      <c r="C9" s="64" t="str">
        <f>IFERROR(VLOOKUP($N$4&amp;B9,設定!J:L,2,FALSE),"")</f>
        <v>ペンダントスイッチ</v>
      </c>
      <c r="D9" s="65"/>
      <c r="E9" s="66"/>
      <c r="F9" s="60" t="str">
        <f>IFERROR(VLOOKUP($N$4&amp;B9,設定!J:L,3,FALSE),"")</f>
        <v>ペンダントスイッチの不備はないか</v>
      </c>
      <c r="G9" s="60"/>
      <c r="H9" s="60"/>
      <c r="I9" s="60"/>
      <c r="J9" s="60"/>
      <c r="K9" s="71" t="str">
        <f>IFERROR(VLOOKUP($N$4&amp;B9,設定!J:M,4,FALSE),"")</f>
        <v>1回/日</v>
      </c>
      <c r="L9" s="72"/>
      <c r="M9" s="8" t="s">
        <v>39</v>
      </c>
      <c r="N9" s="8" t="s">
        <v>39</v>
      </c>
      <c r="O9" s="9"/>
      <c r="P9" s="9"/>
      <c r="Q9" s="9"/>
      <c r="R9" s="9"/>
      <c r="S9" s="9"/>
      <c r="T9" s="8" t="s">
        <v>39</v>
      </c>
      <c r="U9" s="8" t="s">
        <v>39</v>
      </c>
      <c r="V9" s="9"/>
      <c r="W9" s="8" t="s">
        <v>39</v>
      </c>
      <c r="X9" s="9"/>
      <c r="Y9" s="9"/>
      <c r="Z9" s="9"/>
      <c r="AA9" s="8" t="s">
        <v>39</v>
      </c>
      <c r="AB9" s="8" t="s">
        <v>39</v>
      </c>
      <c r="AC9" s="9"/>
      <c r="AD9" s="9"/>
      <c r="AE9" s="9"/>
      <c r="AF9" s="9"/>
      <c r="AG9" s="9"/>
      <c r="AH9" s="8" t="s">
        <v>39</v>
      </c>
      <c r="AI9" s="8" t="s">
        <v>39</v>
      </c>
      <c r="AJ9" s="8" t="s">
        <v>39</v>
      </c>
      <c r="AK9" s="9"/>
      <c r="AL9" s="9"/>
      <c r="AM9" s="9"/>
      <c r="AN9" s="9"/>
      <c r="AO9" s="8" t="s">
        <v>39</v>
      </c>
      <c r="AP9" s="8" t="s">
        <v>39</v>
      </c>
      <c r="AQ9" s="33" t="s">
        <v>39</v>
      </c>
    </row>
    <row r="10" spans="2:43" ht="30" customHeight="1" x14ac:dyDescent="0.25">
      <c r="B10" s="6">
        <f t="shared" ref="B10:B18" si="2">B9+1</f>
        <v>2</v>
      </c>
      <c r="C10" s="61" t="str">
        <f>IFERROR(VLOOKUP($N$4&amp;B10,設定!J:L,2,FALSE),"")</f>
        <v>エアーホース</v>
      </c>
      <c r="D10" s="62"/>
      <c r="E10" s="63"/>
      <c r="F10" s="60" t="str">
        <f>IFERROR(VLOOKUP($N$4&amp;B10,設定!J:L,3,FALSE),"")</f>
        <v>エアーホースに破損はないか</v>
      </c>
      <c r="G10" s="60"/>
      <c r="H10" s="60"/>
      <c r="I10" s="60"/>
      <c r="J10" s="60"/>
      <c r="K10" s="51" t="str">
        <f>IFERROR(VLOOKUP($N$4&amp;B10,設定!J:M,4,FALSE),"")</f>
        <v>1回/日</v>
      </c>
      <c r="L10" s="53"/>
      <c r="M10" s="8" t="s">
        <v>39</v>
      </c>
      <c r="N10" s="8" t="s">
        <v>39</v>
      </c>
      <c r="O10" s="9"/>
      <c r="P10" s="9"/>
      <c r="Q10" s="9"/>
      <c r="R10" s="9"/>
      <c r="S10" s="9"/>
      <c r="T10" s="8" t="s">
        <v>39</v>
      </c>
      <c r="U10" s="8" t="s">
        <v>39</v>
      </c>
      <c r="V10" s="9"/>
      <c r="W10" s="8" t="s">
        <v>39</v>
      </c>
      <c r="X10" s="9"/>
      <c r="Y10" s="9"/>
      <c r="Z10" s="9"/>
      <c r="AA10" s="8" t="s">
        <v>39</v>
      </c>
      <c r="AB10" s="8" t="s">
        <v>39</v>
      </c>
      <c r="AC10" s="9"/>
      <c r="AD10" s="9"/>
      <c r="AE10" s="9"/>
      <c r="AF10" s="9"/>
      <c r="AG10" s="9"/>
      <c r="AH10" s="8" t="s">
        <v>39</v>
      </c>
      <c r="AI10" s="8" t="s">
        <v>39</v>
      </c>
      <c r="AJ10" s="8" t="s">
        <v>39</v>
      </c>
      <c r="AK10" s="9"/>
      <c r="AL10" s="9"/>
      <c r="AM10" s="9"/>
      <c r="AN10" s="9"/>
      <c r="AO10" s="8" t="s">
        <v>39</v>
      </c>
      <c r="AP10" s="8" t="s">
        <v>39</v>
      </c>
      <c r="AQ10" s="33" t="s">
        <v>39</v>
      </c>
    </row>
    <row r="11" spans="2:43" ht="30" customHeight="1" x14ac:dyDescent="0.25">
      <c r="B11" s="6">
        <f t="shared" si="2"/>
        <v>3</v>
      </c>
      <c r="C11" s="61" t="str">
        <f>IFERROR(VLOOKUP($N$4&amp;B11,設定!J:L,2,FALSE),"")</f>
        <v>エアーレギュレーター</v>
      </c>
      <c r="D11" s="62"/>
      <c r="E11" s="63"/>
      <c r="F11" s="60" t="str">
        <f>IFERROR(VLOOKUP($N$4&amp;B11,設定!J:L,3,FALSE),"")</f>
        <v>エアーレギュレーターの圧力は規定範囲か</v>
      </c>
      <c r="G11" s="60"/>
      <c r="H11" s="60"/>
      <c r="I11" s="60"/>
      <c r="J11" s="60"/>
      <c r="K11" s="51" t="str">
        <f>IFERROR(VLOOKUP($N$4&amp;B11,設定!J:M,4,FALSE),"")</f>
        <v>1回/日</v>
      </c>
      <c r="L11" s="53"/>
      <c r="M11" s="8" t="s">
        <v>39</v>
      </c>
      <c r="N11" s="8" t="s">
        <v>39</v>
      </c>
      <c r="O11" s="9"/>
      <c r="P11" s="9"/>
      <c r="Q11" s="9"/>
      <c r="R11" s="9"/>
      <c r="S11" s="9"/>
      <c r="T11" s="8" t="s">
        <v>39</v>
      </c>
      <c r="U11" s="8" t="s">
        <v>39</v>
      </c>
      <c r="V11" s="9"/>
      <c r="W11" s="8" t="s">
        <v>39</v>
      </c>
      <c r="X11" s="9"/>
      <c r="Y11" s="9"/>
      <c r="Z11" s="9"/>
      <c r="AA11" s="8" t="s">
        <v>39</v>
      </c>
      <c r="AB11" s="8" t="s">
        <v>39</v>
      </c>
      <c r="AC11" s="9"/>
      <c r="AD11" s="9"/>
      <c r="AE11" s="9"/>
      <c r="AF11" s="9"/>
      <c r="AG11" s="9"/>
      <c r="AH11" s="8" t="s">
        <v>39</v>
      </c>
      <c r="AI11" s="8" t="s">
        <v>39</v>
      </c>
      <c r="AJ11" s="8" t="s">
        <v>39</v>
      </c>
      <c r="AK11" s="9"/>
      <c r="AL11" s="9"/>
      <c r="AM11" s="9"/>
      <c r="AN11" s="9"/>
      <c r="AO11" s="8" t="s">
        <v>39</v>
      </c>
      <c r="AP11" s="8" t="s">
        <v>39</v>
      </c>
      <c r="AQ11" s="33" t="s">
        <v>39</v>
      </c>
    </row>
    <row r="12" spans="2:43" ht="30" customHeight="1" x14ac:dyDescent="0.25">
      <c r="B12" s="6">
        <f t="shared" si="2"/>
        <v>4</v>
      </c>
      <c r="C12" s="61" t="str">
        <f>IFERROR(VLOOKUP($N$4&amp;B12,設定!J:L,2,FALSE),"")</f>
        <v>本体</v>
      </c>
      <c r="D12" s="62"/>
      <c r="E12" s="63"/>
      <c r="F12" s="60" t="str">
        <f>IFERROR(VLOOKUP($N$4&amp;B12,設定!J:L,3,FALSE),"")</f>
        <v>上下作動は円滑か</v>
      </c>
      <c r="G12" s="60"/>
      <c r="H12" s="60"/>
      <c r="I12" s="60"/>
      <c r="J12" s="60"/>
      <c r="K12" s="51" t="str">
        <f>IFERROR(VLOOKUP($N$4&amp;B12,設定!J:M,4,FALSE),"")</f>
        <v>1回/日</v>
      </c>
      <c r="L12" s="53"/>
      <c r="M12" s="8" t="s">
        <v>39</v>
      </c>
      <c r="N12" s="8" t="s">
        <v>39</v>
      </c>
      <c r="O12" s="9"/>
      <c r="P12" s="9"/>
      <c r="Q12" s="9"/>
      <c r="R12" s="9"/>
      <c r="S12" s="9"/>
      <c r="T12" s="8" t="s">
        <v>39</v>
      </c>
      <c r="U12" s="8" t="s">
        <v>39</v>
      </c>
      <c r="V12" s="9"/>
      <c r="W12" s="8" t="s">
        <v>39</v>
      </c>
      <c r="X12" s="9"/>
      <c r="Y12" s="9"/>
      <c r="Z12" s="9"/>
      <c r="AA12" s="8" t="s">
        <v>39</v>
      </c>
      <c r="AB12" s="8" t="s">
        <v>39</v>
      </c>
      <c r="AC12" s="9"/>
      <c r="AD12" s="9"/>
      <c r="AE12" s="9"/>
      <c r="AF12" s="9"/>
      <c r="AG12" s="9"/>
      <c r="AH12" s="8" t="s">
        <v>39</v>
      </c>
      <c r="AI12" s="8" t="s">
        <v>39</v>
      </c>
      <c r="AJ12" s="8" t="s">
        <v>39</v>
      </c>
      <c r="AK12" s="9"/>
      <c r="AL12" s="9"/>
      <c r="AM12" s="9"/>
      <c r="AN12" s="9"/>
      <c r="AO12" s="8" t="s">
        <v>39</v>
      </c>
      <c r="AP12" s="8" t="s">
        <v>39</v>
      </c>
      <c r="AQ12" s="33" t="s">
        <v>39</v>
      </c>
    </row>
    <row r="13" spans="2:43" ht="30" customHeight="1" x14ac:dyDescent="0.25">
      <c r="B13" s="6">
        <f t="shared" si="2"/>
        <v>5</v>
      </c>
      <c r="C13" s="61" t="str">
        <f>IFERROR(VLOOKUP($N$4&amp;B13,設定!J:L,2,FALSE),"")</f>
        <v>フック・シープ</v>
      </c>
      <c r="D13" s="62"/>
      <c r="E13" s="63"/>
      <c r="F13" s="60" t="str">
        <f>IFERROR(VLOOKUP($N$4&amp;B13,設定!J:L,3,FALSE),"")</f>
        <v>フック・シープには破損はないか</v>
      </c>
      <c r="G13" s="60"/>
      <c r="H13" s="60"/>
      <c r="I13" s="60"/>
      <c r="J13" s="60"/>
      <c r="K13" s="51" t="str">
        <f>IFERROR(VLOOKUP($N$4&amp;B13,設定!J:M,4,FALSE),"")</f>
        <v>1回/日</v>
      </c>
      <c r="L13" s="53"/>
      <c r="M13" s="8" t="s">
        <v>39</v>
      </c>
      <c r="N13" s="8" t="s">
        <v>39</v>
      </c>
      <c r="O13" s="9"/>
      <c r="P13" s="9"/>
      <c r="Q13" s="9"/>
      <c r="R13" s="9"/>
      <c r="S13" s="9"/>
      <c r="T13" s="8" t="s">
        <v>39</v>
      </c>
      <c r="U13" s="8" t="s">
        <v>39</v>
      </c>
      <c r="V13" s="9"/>
      <c r="W13" s="8" t="s">
        <v>39</v>
      </c>
      <c r="X13" s="9"/>
      <c r="Y13" s="9"/>
      <c r="Z13" s="9"/>
      <c r="AA13" s="8" t="s">
        <v>39</v>
      </c>
      <c r="AB13" s="8" t="s">
        <v>39</v>
      </c>
      <c r="AC13" s="9"/>
      <c r="AD13" s="9"/>
      <c r="AE13" s="9"/>
      <c r="AF13" s="9"/>
      <c r="AG13" s="9"/>
      <c r="AH13" s="8" t="s">
        <v>39</v>
      </c>
      <c r="AI13" s="8" t="s">
        <v>39</v>
      </c>
      <c r="AJ13" s="8" t="s">
        <v>39</v>
      </c>
      <c r="AK13" s="9"/>
      <c r="AL13" s="9"/>
      <c r="AM13" s="9"/>
      <c r="AN13" s="9"/>
      <c r="AO13" s="8" t="s">
        <v>39</v>
      </c>
      <c r="AP13" s="8" t="s">
        <v>39</v>
      </c>
      <c r="AQ13" s="33" t="s">
        <v>39</v>
      </c>
    </row>
    <row r="14" spans="2:43" ht="30" customHeight="1" x14ac:dyDescent="0.25">
      <c r="B14" s="6">
        <f t="shared" si="2"/>
        <v>6</v>
      </c>
      <c r="C14" s="61" t="str">
        <f>IFERROR(VLOOKUP($N$4&amp;B14,設定!J:L,2,FALSE),"")</f>
        <v>ワイヤーロープ、チェーン</v>
      </c>
      <c r="D14" s="62"/>
      <c r="E14" s="63"/>
      <c r="F14" s="60" t="str">
        <f>IFERROR(VLOOKUP($N$4&amp;B14,設定!J:L,3,FALSE),"")</f>
        <v>ワイヤーロープ、チェーンに破損はないか</v>
      </c>
      <c r="G14" s="60"/>
      <c r="H14" s="60"/>
      <c r="I14" s="60"/>
      <c r="J14" s="60"/>
      <c r="K14" s="51" t="str">
        <f>IFERROR(VLOOKUP($N$4&amp;B14,設定!J:M,4,FALSE),"")</f>
        <v>1回/日</v>
      </c>
      <c r="L14" s="53"/>
      <c r="M14" s="8" t="s">
        <v>39</v>
      </c>
      <c r="N14" s="8" t="s">
        <v>39</v>
      </c>
      <c r="O14" s="9"/>
      <c r="P14" s="9"/>
      <c r="Q14" s="9"/>
      <c r="R14" s="9"/>
      <c r="S14" s="9"/>
      <c r="T14" s="8" t="s">
        <v>39</v>
      </c>
      <c r="U14" s="8" t="s">
        <v>39</v>
      </c>
      <c r="V14" s="9"/>
      <c r="W14" s="8" t="s">
        <v>39</v>
      </c>
      <c r="X14" s="9"/>
      <c r="Y14" s="9"/>
      <c r="Z14" s="9"/>
      <c r="AA14" s="8" t="s">
        <v>39</v>
      </c>
      <c r="AB14" s="8" t="s">
        <v>39</v>
      </c>
      <c r="AC14" s="9"/>
      <c r="AD14" s="9"/>
      <c r="AE14" s="9"/>
      <c r="AF14" s="9"/>
      <c r="AG14" s="9"/>
      <c r="AH14" s="8" t="s">
        <v>39</v>
      </c>
      <c r="AI14" s="8" t="s">
        <v>39</v>
      </c>
      <c r="AJ14" s="8" t="s">
        <v>39</v>
      </c>
      <c r="AK14" s="9"/>
      <c r="AL14" s="9"/>
      <c r="AM14" s="9"/>
      <c r="AN14" s="9"/>
      <c r="AO14" s="8" t="s">
        <v>39</v>
      </c>
      <c r="AP14" s="8" t="s">
        <v>39</v>
      </c>
      <c r="AQ14" s="33" t="s">
        <v>39</v>
      </c>
    </row>
    <row r="15" spans="2:43" ht="30" customHeight="1" x14ac:dyDescent="0.25">
      <c r="B15" s="6">
        <f t="shared" si="2"/>
        <v>7</v>
      </c>
      <c r="C15" s="61" t="str">
        <f>IFERROR(VLOOKUP($N$4&amp;B15,設定!J:L,2,FALSE),"")</f>
        <v>チェーンリング</v>
      </c>
      <c r="D15" s="62"/>
      <c r="E15" s="63"/>
      <c r="F15" s="60" t="str">
        <f>IFERROR(VLOOKUP($N$4&amp;B15,設定!J:L,3,FALSE),"")</f>
        <v>チェーンリングに破損はないか</v>
      </c>
      <c r="G15" s="60"/>
      <c r="H15" s="60"/>
      <c r="I15" s="60"/>
      <c r="J15" s="60"/>
      <c r="K15" s="51" t="str">
        <f>IFERROR(VLOOKUP($N$4&amp;B15,設定!J:M,4,FALSE),"")</f>
        <v>1回/日</v>
      </c>
      <c r="L15" s="53"/>
      <c r="M15" s="8" t="s">
        <v>39</v>
      </c>
      <c r="N15" s="8" t="s">
        <v>39</v>
      </c>
      <c r="O15" s="9"/>
      <c r="P15" s="9"/>
      <c r="Q15" s="9"/>
      <c r="R15" s="9"/>
      <c r="S15" s="9"/>
      <c r="T15" s="8" t="s">
        <v>39</v>
      </c>
      <c r="U15" s="8" t="s">
        <v>39</v>
      </c>
      <c r="V15" s="9"/>
      <c r="W15" s="8" t="s">
        <v>39</v>
      </c>
      <c r="X15" s="9"/>
      <c r="Y15" s="9"/>
      <c r="Z15" s="9"/>
      <c r="AA15" s="8" t="s">
        <v>39</v>
      </c>
      <c r="AB15" s="8" t="s">
        <v>39</v>
      </c>
      <c r="AC15" s="9"/>
      <c r="AD15" s="9"/>
      <c r="AE15" s="9"/>
      <c r="AF15" s="9"/>
      <c r="AG15" s="9"/>
      <c r="AH15" s="8" t="s">
        <v>39</v>
      </c>
      <c r="AI15" s="8" t="s">
        <v>39</v>
      </c>
      <c r="AJ15" s="8" t="s">
        <v>39</v>
      </c>
      <c r="AK15" s="9"/>
      <c r="AL15" s="9"/>
      <c r="AM15" s="9"/>
      <c r="AN15" s="9"/>
      <c r="AO15" s="8" t="s">
        <v>39</v>
      </c>
      <c r="AP15" s="8" t="s">
        <v>39</v>
      </c>
      <c r="AQ15" s="33" t="s">
        <v>39</v>
      </c>
    </row>
    <row r="16" spans="2:43" ht="30" customHeight="1" x14ac:dyDescent="0.25">
      <c r="B16" s="6">
        <f t="shared" si="2"/>
        <v>8</v>
      </c>
      <c r="C16" s="57" t="str">
        <f>IFERROR(VLOOKUP($N$4&amp;B16,設定!J:L,2,FALSE),"")</f>
        <v>本体</v>
      </c>
      <c r="D16" s="58"/>
      <c r="E16" s="59"/>
      <c r="F16" s="60" t="str">
        <f>IFERROR(VLOOKUP($N$4&amp;B16,設定!J:L,3,FALSE),"")</f>
        <v>各部に異常音・振動はないか</v>
      </c>
      <c r="G16" s="60"/>
      <c r="H16" s="60"/>
      <c r="I16" s="60"/>
      <c r="J16" s="60"/>
      <c r="K16" s="55" t="str">
        <f>IFERROR(VLOOKUP($N$4&amp;B16,設定!J:M,4,FALSE),"")</f>
        <v>1回/日</v>
      </c>
      <c r="L16" s="56"/>
      <c r="M16" s="8" t="s">
        <v>39</v>
      </c>
      <c r="N16" s="8" t="s">
        <v>39</v>
      </c>
      <c r="O16" s="9"/>
      <c r="P16" s="9"/>
      <c r="Q16" s="9"/>
      <c r="R16" s="9"/>
      <c r="S16" s="9"/>
      <c r="T16" s="8" t="s">
        <v>39</v>
      </c>
      <c r="U16" s="8" t="s">
        <v>39</v>
      </c>
      <c r="V16" s="9"/>
      <c r="W16" s="8" t="s">
        <v>39</v>
      </c>
      <c r="X16" s="9"/>
      <c r="Y16" s="9"/>
      <c r="Z16" s="9"/>
      <c r="AA16" s="8" t="s">
        <v>39</v>
      </c>
      <c r="AB16" s="8" t="s">
        <v>39</v>
      </c>
      <c r="AC16" s="9"/>
      <c r="AD16" s="9"/>
      <c r="AE16" s="9"/>
      <c r="AF16" s="9"/>
      <c r="AG16" s="9"/>
      <c r="AH16" s="8" t="s">
        <v>39</v>
      </c>
      <c r="AI16" s="8" t="s">
        <v>39</v>
      </c>
      <c r="AJ16" s="8" t="s">
        <v>39</v>
      </c>
      <c r="AK16" s="9"/>
      <c r="AL16" s="9"/>
      <c r="AM16" s="9"/>
      <c r="AN16" s="9"/>
      <c r="AO16" s="8" t="s">
        <v>39</v>
      </c>
      <c r="AP16" s="8" t="s">
        <v>39</v>
      </c>
      <c r="AQ16" s="33" t="s">
        <v>39</v>
      </c>
    </row>
    <row r="17" spans="2:43" ht="30" hidden="1" customHeight="1" x14ac:dyDescent="0.25">
      <c r="B17" s="6">
        <f t="shared" si="2"/>
        <v>9</v>
      </c>
      <c r="C17" s="51" t="str">
        <f>IFERROR(VLOOKUP($N$4&amp;B17,#REF!,2,FALSE),"")</f>
        <v/>
      </c>
      <c r="D17" s="52"/>
      <c r="E17" s="53"/>
      <c r="F17" s="54" t="str">
        <f>IFERROR(VLOOKUP($N$4&amp;B17,#REF!,3,FALSE),"")</f>
        <v/>
      </c>
      <c r="G17" s="54"/>
      <c r="H17" s="54"/>
      <c r="I17" s="54"/>
      <c r="J17" s="54"/>
      <c r="K17" s="51" t="str">
        <f>IFERROR(VLOOKUP($N$4&amp;B17,#REF!,4,FALSE),"")</f>
        <v/>
      </c>
      <c r="L17" s="53"/>
      <c r="M17" s="8" t="s">
        <v>39</v>
      </c>
      <c r="N17" s="8" t="s">
        <v>39</v>
      </c>
      <c r="O17" s="9"/>
      <c r="P17" s="9"/>
      <c r="Q17" s="9"/>
      <c r="R17" s="9"/>
      <c r="S17" s="9"/>
      <c r="T17" s="8" t="s">
        <v>39</v>
      </c>
      <c r="U17" s="8" t="s">
        <v>39</v>
      </c>
      <c r="V17" s="9"/>
      <c r="W17" s="8" t="s">
        <v>39</v>
      </c>
      <c r="X17" s="9"/>
      <c r="Y17" s="9"/>
      <c r="Z17" s="9"/>
      <c r="AA17" s="8" t="s">
        <v>39</v>
      </c>
      <c r="AB17" s="8" t="s">
        <v>39</v>
      </c>
      <c r="AC17" s="9"/>
      <c r="AD17" s="9"/>
      <c r="AE17" s="9"/>
      <c r="AF17" s="9"/>
      <c r="AG17" s="9"/>
      <c r="AH17" s="8" t="s">
        <v>39</v>
      </c>
      <c r="AI17" s="8" t="s">
        <v>39</v>
      </c>
      <c r="AJ17" s="8" t="s">
        <v>39</v>
      </c>
      <c r="AK17" s="9"/>
      <c r="AL17" s="9"/>
      <c r="AM17" s="9"/>
      <c r="AN17" s="9"/>
      <c r="AO17" s="8" t="s">
        <v>39</v>
      </c>
      <c r="AP17" s="8" t="s">
        <v>39</v>
      </c>
      <c r="AQ17" s="33" t="s">
        <v>39</v>
      </c>
    </row>
    <row r="18" spans="2:43" ht="30" hidden="1" customHeight="1" x14ac:dyDescent="0.25">
      <c r="B18" s="6">
        <f t="shared" si="2"/>
        <v>10</v>
      </c>
      <c r="C18" s="51" t="str">
        <f>IFERROR(VLOOKUP($N$4&amp;B18,#REF!,2,FALSE),"")</f>
        <v/>
      </c>
      <c r="D18" s="52"/>
      <c r="E18" s="53"/>
      <c r="F18" s="54" t="str">
        <f>IFERROR(VLOOKUP($N$4&amp;B18,#REF!,3,FALSE),"")</f>
        <v/>
      </c>
      <c r="G18" s="54"/>
      <c r="H18" s="54"/>
      <c r="I18" s="54"/>
      <c r="J18" s="54"/>
      <c r="K18" s="51" t="str">
        <f>IFERROR(VLOOKUP($N$4&amp;B18,#REF!,4,FALSE),"")</f>
        <v/>
      </c>
      <c r="L18" s="53"/>
      <c r="M18" s="18" t="s">
        <v>39</v>
      </c>
      <c r="N18" s="18" t="s">
        <v>39</v>
      </c>
      <c r="O18" s="18" t="s">
        <v>39</v>
      </c>
      <c r="P18" s="18" t="s">
        <v>39</v>
      </c>
      <c r="Q18" s="18" t="s">
        <v>39</v>
      </c>
      <c r="R18" s="19"/>
      <c r="S18" s="19"/>
      <c r="T18" s="19"/>
      <c r="U18" s="19"/>
      <c r="V18" s="19"/>
      <c r="W18" s="18" t="s">
        <v>39</v>
      </c>
      <c r="X18" s="18" t="s">
        <v>39</v>
      </c>
      <c r="Y18" s="18" t="s">
        <v>39</v>
      </c>
      <c r="Z18" s="19"/>
      <c r="AA18" s="19"/>
      <c r="AB18" s="19"/>
      <c r="AC18" s="19"/>
      <c r="AD18" s="18" t="s">
        <v>39</v>
      </c>
      <c r="AE18" s="18" t="s">
        <v>39</v>
      </c>
      <c r="AF18" s="19"/>
      <c r="AG18" s="19"/>
      <c r="AH18" s="19"/>
      <c r="AI18" s="19"/>
      <c r="AJ18" s="19"/>
      <c r="AK18" s="18" t="s">
        <v>39</v>
      </c>
      <c r="AL18" s="18" t="s">
        <v>39</v>
      </c>
      <c r="AM18" s="19"/>
      <c r="AN18" s="19"/>
      <c r="AO18" s="19"/>
      <c r="AP18" s="19"/>
      <c r="AQ18" s="24"/>
    </row>
    <row r="19" spans="2:43" s="12" customFormat="1" ht="30" customHeight="1" x14ac:dyDescent="0.25">
      <c r="B19" s="45" t="s">
        <v>21</v>
      </c>
      <c r="C19" s="46"/>
      <c r="D19" s="46"/>
      <c r="E19" s="46"/>
      <c r="F19" s="46"/>
      <c r="G19" s="46"/>
      <c r="H19" s="46"/>
      <c r="I19" s="46"/>
      <c r="J19" s="46"/>
      <c r="K19" s="49"/>
      <c r="L19" s="49"/>
      <c r="M19" s="20" t="s">
        <v>39</v>
      </c>
      <c r="N19" s="20" t="s">
        <v>39</v>
      </c>
      <c r="O19" s="25"/>
      <c r="P19" s="25"/>
      <c r="Q19" s="25"/>
      <c r="R19" s="25"/>
      <c r="S19" s="25"/>
      <c r="T19" s="20" t="s">
        <v>39</v>
      </c>
      <c r="U19" s="20" t="s">
        <v>39</v>
      </c>
      <c r="V19" s="25"/>
      <c r="W19" s="20" t="s">
        <v>39</v>
      </c>
      <c r="X19" s="25"/>
      <c r="Y19" s="25"/>
      <c r="Z19" s="25"/>
      <c r="AA19" s="20" t="s">
        <v>39</v>
      </c>
      <c r="AB19" s="20" t="s">
        <v>39</v>
      </c>
      <c r="AC19" s="25"/>
      <c r="AD19" s="25"/>
      <c r="AE19" s="25"/>
      <c r="AF19" s="25"/>
      <c r="AG19" s="25"/>
      <c r="AH19" s="20" t="s">
        <v>39</v>
      </c>
      <c r="AI19" s="20" t="s">
        <v>39</v>
      </c>
      <c r="AJ19" s="20" t="s">
        <v>39</v>
      </c>
      <c r="AK19" s="25"/>
      <c r="AL19" s="25"/>
      <c r="AM19" s="25"/>
      <c r="AN19" s="25"/>
      <c r="AO19" s="20" t="s">
        <v>39</v>
      </c>
      <c r="AP19" s="20" t="s">
        <v>39</v>
      </c>
      <c r="AQ19" s="35" t="s">
        <v>39</v>
      </c>
    </row>
    <row r="20" spans="2:43" s="12" customFormat="1" ht="30" customHeight="1" thickBot="1" x14ac:dyDescent="0.3">
      <c r="B20" s="47" t="s">
        <v>22</v>
      </c>
      <c r="C20" s="48"/>
      <c r="D20" s="48"/>
      <c r="E20" s="48"/>
      <c r="F20" s="48"/>
      <c r="G20" s="48"/>
      <c r="H20" s="48"/>
      <c r="I20" s="48"/>
      <c r="J20" s="48"/>
      <c r="K20" s="50"/>
      <c r="L20" s="50"/>
      <c r="M20" s="21" t="s">
        <v>39</v>
      </c>
      <c r="N20" s="21" t="s">
        <v>39</v>
      </c>
      <c r="O20" s="26"/>
      <c r="P20" s="26"/>
      <c r="Q20" s="26"/>
      <c r="R20" s="26"/>
      <c r="S20" s="26"/>
      <c r="T20" s="21" t="s">
        <v>39</v>
      </c>
      <c r="U20" s="21" t="s">
        <v>39</v>
      </c>
      <c r="V20" s="26"/>
      <c r="W20" s="21" t="s">
        <v>39</v>
      </c>
      <c r="X20" s="26"/>
      <c r="Y20" s="26"/>
      <c r="Z20" s="26"/>
      <c r="AA20" s="21" t="s">
        <v>39</v>
      </c>
      <c r="AB20" s="21" t="s">
        <v>39</v>
      </c>
      <c r="AC20" s="26"/>
      <c r="AD20" s="26"/>
      <c r="AE20" s="26"/>
      <c r="AF20" s="26"/>
      <c r="AG20" s="26"/>
      <c r="AH20" s="21" t="s">
        <v>39</v>
      </c>
      <c r="AI20" s="21" t="s">
        <v>39</v>
      </c>
      <c r="AJ20" s="21" t="s">
        <v>39</v>
      </c>
      <c r="AK20" s="26"/>
      <c r="AL20" s="26"/>
      <c r="AM20" s="26"/>
      <c r="AN20" s="26"/>
      <c r="AO20" s="21" t="s">
        <v>39</v>
      </c>
      <c r="AP20" s="21" t="s">
        <v>39</v>
      </c>
      <c r="AQ20" s="36" t="s">
        <v>39</v>
      </c>
    </row>
    <row r="21" spans="2:43" ht="133.5" customHeight="1" thickTop="1" x14ac:dyDescent="0.25">
      <c r="B21" s="42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4"/>
    </row>
    <row r="22" spans="2:43" ht="30" customHeight="1" x14ac:dyDescent="0.25">
      <c r="B22" s="89" t="s">
        <v>43</v>
      </c>
      <c r="C22" s="90"/>
      <c r="D22" s="90"/>
      <c r="E22" s="90"/>
      <c r="F22" s="90"/>
      <c r="G22" s="90"/>
      <c r="H22" s="90"/>
      <c r="I22" s="90"/>
      <c r="J22" s="90"/>
      <c r="K22" s="54"/>
      <c r="L22" s="54"/>
      <c r="M22" s="8" t="s">
        <v>39</v>
      </c>
      <c r="N22" s="8" t="s">
        <v>39</v>
      </c>
      <c r="O22" s="9"/>
      <c r="P22" s="9"/>
      <c r="Q22" s="9"/>
      <c r="R22" s="9"/>
      <c r="S22" s="9"/>
      <c r="T22" s="8" t="s">
        <v>39</v>
      </c>
      <c r="U22" s="8" t="s">
        <v>39</v>
      </c>
      <c r="V22" s="9"/>
      <c r="W22" s="8" t="s">
        <v>39</v>
      </c>
      <c r="X22" s="9"/>
      <c r="Y22" s="9"/>
      <c r="Z22" s="9"/>
      <c r="AA22" s="8" t="s">
        <v>39</v>
      </c>
      <c r="AB22" s="8" t="s">
        <v>39</v>
      </c>
      <c r="AC22" s="9"/>
      <c r="AD22" s="9"/>
      <c r="AE22" s="9"/>
      <c r="AF22" s="9"/>
      <c r="AG22" s="9"/>
      <c r="AH22" s="8" t="s">
        <v>39</v>
      </c>
      <c r="AI22" s="8" t="s">
        <v>39</v>
      </c>
      <c r="AJ22" s="8" t="s">
        <v>39</v>
      </c>
      <c r="AK22" s="9"/>
      <c r="AL22" s="9"/>
      <c r="AM22" s="9"/>
      <c r="AN22" s="9"/>
      <c r="AO22" s="8" t="s">
        <v>39</v>
      </c>
      <c r="AP22" s="8" t="s">
        <v>39</v>
      </c>
      <c r="AQ22" s="33" t="s">
        <v>39</v>
      </c>
    </row>
    <row r="23" spans="2:43" ht="30" customHeight="1" thickBot="1" x14ac:dyDescent="0.3">
      <c r="B23" s="91" t="s">
        <v>44</v>
      </c>
      <c r="C23" s="92"/>
      <c r="D23" s="92"/>
      <c r="E23" s="92"/>
      <c r="F23" s="92"/>
      <c r="G23" s="92"/>
      <c r="H23" s="92"/>
      <c r="I23" s="92"/>
      <c r="J23" s="92"/>
      <c r="K23" s="93"/>
      <c r="L23" s="93"/>
      <c r="M23" s="10" t="s">
        <v>39</v>
      </c>
      <c r="N23" s="10" t="s">
        <v>39</v>
      </c>
      <c r="O23" s="11"/>
      <c r="P23" s="11"/>
      <c r="Q23" s="11"/>
      <c r="R23" s="11"/>
      <c r="S23" s="11"/>
      <c r="T23" s="10" t="s">
        <v>39</v>
      </c>
      <c r="U23" s="10" t="s">
        <v>39</v>
      </c>
      <c r="V23" s="11"/>
      <c r="W23" s="10" t="s">
        <v>39</v>
      </c>
      <c r="X23" s="11"/>
      <c r="Y23" s="11"/>
      <c r="Z23" s="11"/>
      <c r="AA23" s="10" t="s">
        <v>39</v>
      </c>
      <c r="AB23" s="10" t="s">
        <v>39</v>
      </c>
      <c r="AC23" s="11"/>
      <c r="AD23" s="11"/>
      <c r="AE23" s="11"/>
      <c r="AF23" s="11"/>
      <c r="AG23" s="11"/>
      <c r="AH23" s="10" t="s">
        <v>39</v>
      </c>
      <c r="AI23" s="10" t="s">
        <v>39</v>
      </c>
      <c r="AJ23" s="10" t="s">
        <v>39</v>
      </c>
      <c r="AK23" s="11"/>
      <c r="AL23" s="11"/>
      <c r="AM23" s="11"/>
      <c r="AN23" s="11"/>
      <c r="AO23" s="10" t="s">
        <v>39</v>
      </c>
      <c r="AP23" s="10" t="s">
        <v>39</v>
      </c>
      <c r="AQ23" s="37" t="s">
        <v>39</v>
      </c>
    </row>
  </sheetData>
  <sheetProtection selectLockedCells="1"/>
  <mergeCells count="57">
    <mergeCell ref="AM1:AQ1"/>
    <mergeCell ref="B22:J22"/>
    <mergeCell ref="K22:L22"/>
    <mergeCell ref="B23:J23"/>
    <mergeCell ref="K23:L23"/>
    <mergeCell ref="AO3:AQ5"/>
    <mergeCell ref="AL3:AN5"/>
    <mergeCell ref="AL2:AN2"/>
    <mergeCell ref="AO2:AQ2"/>
    <mergeCell ref="B2:C2"/>
    <mergeCell ref="B4:C4"/>
    <mergeCell ref="B5:C5"/>
    <mergeCell ref="D4:J4"/>
    <mergeCell ref="D5:J5"/>
    <mergeCell ref="N4:T4"/>
    <mergeCell ref="K5:M5"/>
    <mergeCell ref="N5:T5"/>
    <mergeCell ref="B7:B8"/>
    <mergeCell ref="F7:J8"/>
    <mergeCell ref="K4:M4"/>
    <mergeCell ref="C7:E8"/>
    <mergeCell ref="C10:E10"/>
    <mergeCell ref="F10:J10"/>
    <mergeCell ref="C9:E9"/>
    <mergeCell ref="F9:J9"/>
    <mergeCell ref="K7:L8"/>
    <mergeCell ref="K9:L9"/>
    <mergeCell ref="K10:L10"/>
    <mergeCell ref="C15:E15"/>
    <mergeCell ref="F15:J15"/>
    <mergeCell ref="F11:J11"/>
    <mergeCell ref="C12:E12"/>
    <mergeCell ref="F12:J12"/>
    <mergeCell ref="C13:E13"/>
    <mergeCell ref="F13:J13"/>
    <mergeCell ref="C11:E11"/>
    <mergeCell ref="C18:E18"/>
    <mergeCell ref="F18:J18"/>
    <mergeCell ref="K18:L18"/>
    <mergeCell ref="K12:L12"/>
    <mergeCell ref="K11:L11"/>
    <mergeCell ref="K15:L15"/>
    <mergeCell ref="K16:L16"/>
    <mergeCell ref="K17:L17"/>
    <mergeCell ref="K13:L13"/>
    <mergeCell ref="K14:L14"/>
    <mergeCell ref="C16:E16"/>
    <mergeCell ref="F16:J16"/>
    <mergeCell ref="C17:E17"/>
    <mergeCell ref="F17:J17"/>
    <mergeCell ref="C14:E14"/>
    <mergeCell ref="F14:J14"/>
    <mergeCell ref="B21:AQ21"/>
    <mergeCell ref="B19:J19"/>
    <mergeCell ref="B20:J20"/>
    <mergeCell ref="K19:L19"/>
    <mergeCell ref="K20:L20"/>
  </mergeCells>
  <phoneticPr fontId="1"/>
  <dataValidations count="2">
    <dataValidation type="list" allowBlank="1" showInputMessage="1" showErrorMessage="1" sqref="E2" xr:uid="{90A2EBC7-F53A-48FF-B13A-1D64BA50789D}">
      <formula1>"1,2,3,4,5,6,7,8,9,10,11,12"</formula1>
    </dataValidation>
    <dataValidation type="list" allowBlank="1" showInputMessage="1" showErrorMessage="1" sqref="D5:J5" xr:uid="{50168DE3-A785-46DA-9DA1-07E85985E0E5}">
      <formula1>#REF!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検索ボタン">
              <controlPr defaultSize="0" print="0" autoFill="0" autoPict="0" macro="[0]!マクロ_検索">
                <anchor moveWithCells="1">
                  <from>
                    <xdr:col>11</xdr:col>
                    <xdr:colOff>104775</xdr:colOff>
                    <xdr:row>0</xdr:row>
                    <xdr:rowOff>190500</xdr:rowOff>
                  </from>
                  <to>
                    <xdr:col>14</xdr:col>
                    <xdr:colOff>171450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クリアボタン">
              <controlPr defaultSize="0" print="0" autoFill="0" autoPict="0" macro="[0]!マクロ_クリア">
                <anchor moveWithCells="1">
                  <from>
                    <xdr:col>14</xdr:col>
                    <xdr:colOff>257175</xdr:colOff>
                    <xdr:row>0</xdr:row>
                    <xdr:rowOff>190500</xdr:rowOff>
                  </from>
                  <to>
                    <xdr:col>17</xdr:col>
                    <xdr:colOff>314325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承認ボタン">
              <controlPr defaultSize="0" print="0" autoFill="0" autoPict="0" macro="[0]!承認印作成">
                <anchor moveWithCells="1">
                  <from>
                    <xdr:col>29</xdr:col>
                    <xdr:colOff>285750</xdr:colOff>
                    <xdr:row>0</xdr:row>
                    <xdr:rowOff>200025</xdr:rowOff>
                  </from>
                  <to>
                    <xdr:col>33</xdr:col>
                    <xdr:colOff>19050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確認ボタン">
              <controlPr defaultSize="0" print="0" autoFill="0" autoPict="0" macro="[0]!承認印削除">
                <anchor moveWithCells="1">
                  <from>
                    <xdr:col>29</xdr:col>
                    <xdr:colOff>285750</xdr:colOff>
                    <xdr:row>2</xdr:row>
                    <xdr:rowOff>104775</xdr:rowOff>
                  </from>
                  <to>
                    <xdr:col>33</xdr:col>
                    <xdr:colOff>19050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承認ボタン">
              <controlPr defaultSize="0" print="0" autoFill="0" autoPict="0" macro="[0]!確認印作成">
                <anchor moveWithCells="1">
                  <from>
                    <xdr:col>33</xdr:col>
                    <xdr:colOff>114300</xdr:colOff>
                    <xdr:row>0</xdr:row>
                    <xdr:rowOff>190500</xdr:rowOff>
                  </from>
                  <to>
                    <xdr:col>36</xdr:col>
                    <xdr:colOff>171450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" name="確認ボタン">
              <controlPr defaultSize="0" print="0" autoFill="0" autoPict="0" macro="[0]!確認印削除">
                <anchor moveWithCells="1">
                  <from>
                    <xdr:col>33</xdr:col>
                    <xdr:colOff>114300</xdr:colOff>
                    <xdr:row>2</xdr:row>
                    <xdr:rowOff>104775</xdr:rowOff>
                  </from>
                  <to>
                    <xdr:col>36</xdr:col>
                    <xdr:colOff>171450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0" name="Button 27">
              <controlPr defaultSize="0" print="0" autoFill="0" autoPict="0" macro="[0]!マクロ_異常処置">
                <anchor moveWithCells="1">
                  <from>
                    <xdr:col>25</xdr:col>
                    <xdr:colOff>123825</xdr:colOff>
                    <xdr:row>2</xdr:row>
                    <xdr:rowOff>104775</xdr:rowOff>
                  </from>
                  <to>
                    <xdr:col>28</xdr:col>
                    <xdr:colOff>171450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1" name="検索ボタン">
              <controlPr defaultSize="0" print="0" autoFill="0" autoPict="0" macro="[0]!マクロ_点検確認">
                <anchor moveWithCells="1">
                  <from>
                    <xdr:col>25</xdr:col>
                    <xdr:colOff>123825</xdr:colOff>
                    <xdr:row>0</xdr:row>
                    <xdr:rowOff>190500</xdr:rowOff>
                  </from>
                  <to>
                    <xdr:col>28</xdr:col>
                    <xdr:colOff>180975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2" name="Button 31">
              <controlPr defaultSize="0" print="0" autoFill="0" autoPict="0" macro="[0]!マクロ_異常処置">
                <anchor moveWithCells="1">
                  <from>
                    <xdr:col>25</xdr:col>
                    <xdr:colOff>114300</xdr:colOff>
                    <xdr:row>4</xdr:row>
                    <xdr:rowOff>28575</xdr:rowOff>
                  </from>
                  <to>
                    <xdr:col>28</xdr:col>
                    <xdr:colOff>171450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マクロ_設定更新" altText="設定更新">
                <anchor moveWithCells="1">
                  <from>
                    <xdr:col>33</xdr:col>
                    <xdr:colOff>114300</xdr:colOff>
                    <xdr:row>4</xdr:row>
                    <xdr:rowOff>28575</xdr:rowOff>
                  </from>
                  <to>
                    <xdr:col>36</xdr:col>
                    <xdr:colOff>161925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4" name="クリアボタン">
              <controlPr defaultSize="0" print="0" autoFill="0" autoPict="0" macro="[0]!マクロ_クリア">
                <anchor moveWithCells="1">
                  <from>
                    <xdr:col>18</xdr:col>
                    <xdr:colOff>57150</xdr:colOff>
                    <xdr:row>0</xdr:row>
                    <xdr:rowOff>180975</xdr:rowOff>
                  </from>
                  <to>
                    <xdr:col>21</xdr:col>
                    <xdr:colOff>114300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C6A04B-E05A-483A-954C-DE2312F8FAF9}">
          <x14:formula1>
            <xm:f>設定!$D$3:$D$22</xm:f>
          </x14:formula1>
          <xm:sqref>N4:T4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FBAA-7D50-4961-A9ED-656796A3DBC0}">
  <sheetPr codeName="sheet3"/>
  <dimension ref="A1"/>
  <sheetViews>
    <sheetView workbookViewId="0">
      <selection activeCell="B31" sqref="B31"/>
    </sheetView>
  </sheetViews>
  <sheetFormatPr defaultRowHeight="15.75" x14ac:dyDescent="0.25"/>
  <cols>
    <col min="1" max="1" width="10.109375" bestFit="1" customWidth="1"/>
    <col min="2" max="2" width="10.33203125" bestFit="1" customWidth="1"/>
    <col min="3" max="3" width="6.5546875" bestFit="1" customWidth="1"/>
    <col min="4" max="4" width="10.33203125" bestFit="1" customWidth="1"/>
    <col min="5" max="13" width="6.6640625" bestFit="1" customWidth="1"/>
    <col min="14" max="14" width="6.88671875" bestFit="1" customWidth="1"/>
  </cols>
  <sheetData/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BD71F-D268-46D1-A7E0-96F883A6E2EA}">
  <sheetPr codeName="sheet2"/>
  <dimension ref="A1:N46"/>
  <sheetViews>
    <sheetView showGridLines="0" zoomScale="115" zoomScaleNormal="115" workbookViewId="0">
      <selection activeCell="K17" sqref="K17"/>
    </sheetView>
  </sheetViews>
  <sheetFormatPr defaultRowHeight="15.75" customHeight="1" x14ac:dyDescent="0.25"/>
  <cols>
    <col min="1" max="1" width="11.21875" bestFit="1" customWidth="1"/>
    <col min="2" max="2" width="4.88671875" bestFit="1" customWidth="1"/>
    <col min="3" max="3" width="6.5546875" bestFit="1" customWidth="1"/>
    <col min="4" max="4" width="7.44140625" bestFit="1" customWidth="1"/>
    <col min="5" max="5" width="7.44140625" customWidth="1"/>
    <col min="7" max="7" width="2" customWidth="1"/>
    <col min="8" max="8" width="8.21875" bestFit="1" customWidth="1"/>
    <col min="9" max="9" width="4" bestFit="1" customWidth="1"/>
    <col min="10" max="10" width="8.44140625" bestFit="1" customWidth="1"/>
    <col min="11" max="11" width="12.77734375" style="12" bestFit="1" customWidth="1"/>
    <col min="12" max="12" width="22.33203125" style="12" bestFit="1" customWidth="1"/>
    <col min="14" max="14" width="11.21875" style="7" bestFit="1" customWidth="1"/>
  </cols>
  <sheetData>
    <row r="1" spans="1:14" x14ac:dyDescent="0.25">
      <c r="A1" s="27" t="s">
        <v>67</v>
      </c>
      <c r="B1" s="101" t="s">
        <v>69</v>
      </c>
      <c r="C1" s="102"/>
      <c r="D1" s="102"/>
      <c r="E1" s="102"/>
      <c r="F1" s="103"/>
      <c r="H1" s="101" t="s">
        <v>62</v>
      </c>
      <c r="I1" s="102"/>
      <c r="J1" s="102"/>
      <c r="K1" s="102"/>
      <c r="L1" s="102"/>
      <c r="M1" s="103"/>
      <c r="N1" s="41" t="s">
        <v>63</v>
      </c>
    </row>
    <row r="2" spans="1:14" x14ac:dyDescent="0.25">
      <c r="A2" s="22">
        <v>0.2</v>
      </c>
      <c r="B2" s="27" t="s">
        <v>13</v>
      </c>
      <c r="C2" s="27" t="s">
        <v>1</v>
      </c>
      <c r="D2" s="27" t="s">
        <v>6</v>
      </c>
      <c r="E2" s="27" t="s">
        <v>60</v>
      </c>
      <c r="F2" s="27" t="s">
        <v>14</v>
      </c>
      <c r="H2" s="27" t="s">
        <v>33</v>
      </c>
      <c r="I2" s="27" t="s">
        <v>36</v>
      </c>
      <c r="J2" s="27" t="s">
        <v>37</v>
      </c>
      <c r="K2" s="31" t="s">
        <v>34</v>
      </c>
      <c r="L2" s="31" t="s">
        <v>35</v>
      </c>
      <c r="M2" s="27" t="s">
        <v>16</v>
      </c>
      <c r="N2" s="7">
        <v>45658</v>
      </c>
    </row>
    <row r="3" spans="1:14" x14ac:dyDescent="0.25">
      <c r="A3" s="38" t="s">
        <v>68</v>
      </c>
      <c r="B3" s="22">
        <v>1</v>
      </c>
      <c r="C3" s="22" t="s">
        <v>2</v>
      </c>
      <c r="D3" s="22" t="s">
        <v>7</v>
      </c>
      <c r="E3" s="22" t="s">
        <v>61</v>
      </c>
      <c r="F3" s="22">
        <v>1</v>
      </c>
      <c r="H3" s="22" t="s">
        <v>7</v>
      </c>
      <c r="I3" s="22">
        <v>1</v>
      </c>
      <c r="J3" s="22" t="str">
        <f t="shared" ref="J3:J46" si="0">H3&amp;I3</f>
        <v>クレーン11</v>
      </c>
      <c r="K3" s="28" t="s">
        <v>25</v>
      </c>
      <c r="L3" s="28" t="s">
        <v>24</v>
      </c>
      <c r="M3" s="22" t="s">
        <v>38</v>
      </c>
      <c r="N3" s="7">
        <v>45659</v>
      </c>
    </row>
    <row r="4" spans="1:14" x14ac:dyDescent="0.25">
      <c r="A4" s="34" t="s">
        <v>0</v>
      </c>
      <c r="B4" s="22">
        <v>2</v>
      </c>
      <c r="C4" s="22" t="s">
        <v>3</v>
      </c>
      <c r="D4" s="22" t="s">
        <v>8</v>
      </c>
      <c r="E4" s="22" t="s">
        <v>61</v>
      </c>
      <c r="F4" s="22">
        <v>2</v>
      </c>
      <c r="H4" s="22" t="s">
        <v>7</v>
      </c>
      <c r="I4" s="22">
        <v>2</v>
      </c>
      <c r="J4" s="22" t="str">
        <f t="shared" si="0"/>
        <v>クレーン12</v>
      </c>
      <c r="K4" s="28" t="s">
        <v>26</v>
      </c>
      <c r="L4" s="28" t="s">
        <v>26</v>
      </c>
      <c r="M4" s="22" t="s">
        <v>38</v>
      </c>
      <c r="N4" s="7">
        <v>45660</v>
      </c>
    </row>
    <row r="5" spans="1:14" x14ac:dyDescent="0.25">
      <c r="A5" s="39" t="s">
        <v>64</v>
      </c>
      <c r="B5" s="22">
        <v>3</v>
      </c>
      <c r="C5" s="22" t="s">
        <v>4</v>
      </c>
      <c r="D5" s="22" t="s">
        <v>9</v>
      </c>
      <c r="E5" s="22" t="s">
        <v>61</v>
      </c>
      <c r="F5" s="22">
        <v>3</v>
      </c>
      <c r="H5" s="22" t="s">
        <v>7</v>
      </c>
      <c r="I5" s="22">
        <v>3</v>
      </c>
      <c r="J5" s="22" t="str">
        <f t="shared" si="0"/>
        <v>クレーン13</v>
      </c>
      <c r="K5" s="28" t="s">
        <v>27</v>
      </c>
      <c r="L5" s="28" t="s">
        <v>27</v>
      </c>
      <c r="M5" s="22" t="s">
        <v>38</v>
      </c>
      <c r="N5" s="7">
        <v>45670</v>
      </c>
    </row>
    <row r="6" spans="1:14" x14ac:dyDescent="0.25">
      <c r="A6" s="40" t="s">
        <v>65</v>
      </c>
      <c r="B6" s="22">
        <v>4</v>
      </c>
      <c r="C6" s="22" t="s">
        <v>5</v>
      </c>
      <c r="D6" s="22" t="s">
        <v>10</v>
      </c>
      <c r="E6" s="22" t="s">
        <v>61</v>
      </c>
      <c r="F6" s="22">
        <v>4</v>
      </c>
      <c r="H6" s="22" t="s">
        <v>7</v>
      </c>
      <c r="I6" s="22">
        <v>4</v>
      </c>
      <c r="J6" s="22" t="str">
        <f t="shared" si="0"/>
        <v>クレーン14</v>
      </c>
      <c r="K6" s="28" t="s">
        <v>28</v>
      </c>
      <c r="L6" s="28" t="s">
        <v>28</v>
      </c>
      <c r="M6" s="22" t="s">
        <v>38</v>
      </c>
      <c r="N6" s="7">
        <v>45699</v>
      </c>
    </row>
    <row r="7" spans="1:14" x14ac:dyDescent="0.25">
      <c r="A7" s="40" t="s">
        <v>66</v>
      </c>
      <c r="B7" s="22"/>
      <c r="C7" s="22"/>
      <c r="D7" s="22" t="s">
        <v>45</v>
      </c>
      <c r="E7" s="22" t="s">
        <v>45</v>
      </c>
      <c r="F7" s="22">
        <v>1</v>
      </c>
      <c r="H7" s="22" t="s">
        <v>7</v>
      </c>
      <c r="I7" s="22">
        <v>5</v>
      </c>
      <c r="J7" s="22" t="str">
        <f t="shared" si="0"/>
        <v>クレーン15</v>
      </c>
      <c r="K7" s="28" t="s">
        <v>29</v>
      </c>
      <c r="L7" s="28" t="s">
        <v>29</v>
      </c>
      <c r="M7" s="22" t="s">
        <v>38</v>
      </c>
      <c r="N7" s="7">
        <v>45712</v>
      </c>
    </row>
    <row r="8" spans="1:14" x14ac:dyDescent="0.25">
      <c r="B8" s="22"/>
      <c r="C8" s="22"/>
      <c r="D8" s="22"/>
      <c r="E8" s="22"/>
      <c r="F8" s="22"/>
      <c r="H8" s="22" t="s">
        <v>7</v>
      </c>
      <c r="I8" s="22">
        <v>6</v>
      </c>
      <c r="J8" s="22" t="str">
        <f t="shared" si="0"/>
        <v>クレーン16</v>
      </c>
      <c r="K8" s="28" t="s">
        <v>30</v>
      </c>
      <c r="L8" s="28" t="s">
        <v>30</v>
      </c>
      <c r="M8" s="22" t="s">
        <v>38</v>
      </c>
    </row>
    <row r="9" spans="1:14" x14ac:dyDescent="0.25">
      <c r="B9" s="22"/>
      <c r="C9" s="22"/>
      <c r="D9" s="22"/>
      <c r="E9" s="22"/>
      <c r="F9" s="22"/>
      <c r="H9" s="22" t="s">
        <v>7</v>
      </c>
      <c r="I9" s="22">
        <v>7</v>
      </c>
      <c r="J9" s="22" t="str">
        <f t="shared" si="0"/>
        <v>クレーン17</v>
      </c>
      <c r="K9" s="28" t="s">
        <v>31</v>
      </c>
      <c r="L9" s="28" t="s">
        <v>31</v>
      </c>
      <c r="M9" s="22" t="s">
        <v>38</v>
      </c>
    </row>
    <row r="10" spans="1:14" x14ac:dyDescent="0.25">
      <c r="B10" s="22"/>
      <c r="C10" s="22"/>
      <c r="D10" s="22"/>
      <c r="E10" s="22"/>
      <c r="F10" s="22"/>
      <c r="H10" s="22" t="s">
        <v>7</v>
      </c>
      <c r="I10" s="22">
        <v>8</v>
      </c>
      <c r="J10" s="22" t="str">
        <f t="shared" si="0"/>
        <v>クレーン18</v>
      </c>
      <c r="K10" s="28" t="s">
        <v>32</v>
      </c>
      <c r="L10" s="28" t="s">
        <v>32</v>
      </c>
      <c r="M10" s="22" t="s">
        <v>38</v>
      </c>
    </row>
    <row r="11" spans="1:14" x14ac:dyDescent="0.25">
      <c r="B11" s="22"/>
      <c r="C11" s="22"/>
      <c r="D11" s="22"/>
      <c r="E11" s="22"/>
      <c r="F11" s="22"/>
      <c r="H11" s="22" t="s">
        <v>7</v>
      </c>
      <c r="I11" s="22">
        <v>9</v>
      </c>
      <c r="J11" s="22" t="str">
        <f t="shared" si="0"/>
        <v>クレーン19</v>
      </c>
      <c r="K11" s="28" t="s">
        <v>28</v>
      </c>
      <c r="L11" s="28" t="s">
        <v>28</v>
      </c>
      <c r="M11" s="22" t="s">
        <v>38</v>
      </c>
    </row>
    <row r="12" spans="1:14" ht="15.75" customHeight="1" x14ac:dyDescent="0.25">
      <c r="B12" s="22"/>
      <c r="C12" s="22"/>
      <c r="D12" s="22"/>
      <c r="E12" s="22"/>
      <c r="F12" s="22"/>
      <c r="H12" s="29" t="s">
        <v>8</v>
      </c>
      <c r="I12" s="29">
        <v>1</v>
      </c>
      <c r="J12" s="29" t="str">
        <f t="shared" si="0"/>
        <v>クレーン21</v>
      </c>
      <c r="K12" s="30" t="s">
        <v>25</v>
      </c>
      <c r="L12" s="30" t="s">
        <v>24</v>
      </c>
      <c r="M12" s="29" t="s">
        <v>38</v>
      </c>
    </row>
    <row r="13" spans="1:14" ht="15.75" customHeight="1" x14ac:dyDescent="0.25">
      <c r="B13" s="22"/>
      <c r="C13" s="22"/>
      <c r="D13" s="22"/>
      <c r="E13" s="22"/>
      <c r="F13" s="22"/>
      <c r="H13" s="29" t="s">
        <v>8</v>
      </c>
      <c r="I13" s="29">
        <v>2</v>
      </c>
      <c r="J13" s="29" t="str">
        <f t="shared" si="0"/>
        <v>クレーン22</v>
      </c>
      <c r="K13" s="30" t="s">
        <v>26</v>
      </c>
      <c r="L13" s="30" t="s">
        <v>26</v>
      </c>
      <c r="M13" s="29" t="s">
        <v>38</v>
      </c>
    </row>
    <row r="14" spans="1:14" ht="15.75" customHeight="1" x14ac:dyDescent="0.25">
      <c r="B14" s="22"/>
      <c r="C14" s="22"/>
      <c r="D14" s="22"/>
      <c r="E14" s="22"/>
      <c r="F14" s="22"/>
      <c r="H14" s="29" t="s">
        <v>8</v>
      </c>
      <c r="I14" s="29">
        <v>3</v>
      </c>
      <c r="J14" s="29" t="str">
        <f t="shared" si="0"/>
        <v>クレーン23</v>
      </c>
      <c r="K14" s="30" t="s">
        <v>27</v>
      </c>
      <c r="L14" s="30" t="s">
        <v>27</v>
      </c>
      <c r="M14" s="29" t="s">
        <v>38</v>
      </c>
    </row>
    <row r="15" spans="1:14" ht="15.75" customHeight="1" x14ac:dyDescent="0.25">
      <c r="B15" s="22"/>
      <c r="C15" s="22"/>
      <c r="D15" s="22"/>
      <c r="E15" s="22"/>
      <c r="F15" s="22"/>
      <c r="H15" s="29" t="s">
        <v>8</v>
      </c>
      <c r="I15" s="29">
        <v>4</v>
      </c>
      <c r="J15" s="29" t="str">
        <f t="shared" si="0"/>
        <v>クレーン24</v>
      </c>
      <c r="K15" s="30" t="s">
        <v>28</v>
      </c>
      <c r="L15" s="30" t="s">
        <v>28</v>
      </c>
      <c r="M15" s="29" t="s">
        <v>38</v>
      </c>
    </row>
    <row r="16" spans="1:14" ht="15.75" customHeight="1" x14ac:dyDescent="0.25">
      <c r="B16" s="22"/>
      <c r="C16" s="22"/>
      <c r="D16" s="22"/>
      <c r="E16" s="22"/>
      <c r="F16" s="22"/>
      <c r="H16" s="29" t="s">
        <v>8</v>
      </c>
      <c r="I16" s="29">
        <v>5</v>
      </c>
      <c r="J16" s="29" t="str">
        <f t="shared" si="0"/>
        <v>クレーン25</v>
      </c>
      <c r="K16" s="30" t="s">
        <v>29</v>
      </c>
      <c r="L16" s="30" t="s">
        <v>29</v>
      </c>
      <c r="M16" s="29" t="s">
        <v>38</v>
      </c>
    </row>
    <row r="17" spans="2:13" ht="15.75" customHeight="1" x14ac:dyDescent="0.25">
      <c r="B17" s="22"/>
      <c r="C17" s="22"/>
      <c r="D17" s="22"/>
      <c r="E17" s="22"/>
      <c r="F17" s="22"/>
      <c r="H17" s="29" t="s">
        <v>8</v>
      </c>
      <c r="I17" s="29">
        <v>6</v>
      </c>
      <c r="J17" s="29" t="str">
        <f t="shared" si="0"/>
        <v>クレーン26</v>
      </c>
      <c r="K17" s="30" t="s">
        <v>30</v>
      </c>
      <c r="L17" s="30" t="s">
        <v>30</v>
      </c>
      <c r="M17" s="29" t="s">
        <v>38</v>
      </c>
    </row>
    <row r="18" spans="2:13" ht="15.75" customHeight="1" x14ac:dyDescent="0.25">
      <c r="B18" s="22"/>
      <c r="C18" s="22"/>
      <c r="D18" s="22"/>
      <c r="E18" s="22"/>
      <c r="F18" s="22"/>
      <c r="H18" s="29" t="s">
        <v>8</v>
      </c>
      <c r="I18" s="29">
        <v>7</v>
      </c>
      <c r="J18" s="29" t="str">
        <f t="shared" si="0"/>
        <v>クレーン27</v>
      </c>
      <c r="K18" s="30" t="s">
        <v>31</v>
      </c>
      <c r="L18" s="30" t="s">
        <v>31</v>
      </c>
      <c r="M18" s="29" t="s">
        <v>38</v>
      </c>
    </row>
    <row r="19" spans="2:13" ht="15.75" customHeight="1" x14ac:dyDescent="0.25">
      <c r="B19" s="22"/>
      <c r="C19" s="22"/>
      <c r="D19" s="22"/>
      <c r="E19" s="22"/>
      <c r="F19" s="22"/>
      <c r="H19" s="29" t="s">
        <v>8</v>
      </c>
      <c r="I19" s="29">
        <v>8</v>
      </c>
      <c r="J19" s="29" t="str">
        <f t="shared" si="0"/>
        <v>クレーン28</v>
      </c>
      <c r="K19" s="30" t="s">
        <v>32</v>
      </c>
      <c r="L19" s="30" t="s">
        <v>32</v>
      </c>
      <c r="M19" s="29" t="s">
        <v>38</v>
      </c>
    </row>
    <row r="20" spans="2:13" ht="15.75" customHeight="1" x14ac:dyDescent="0.25">
      <c r="B20" s="22"/>
      <c r="C20" s="22"/>
      <c r="D20" s="22"/>
      <c r="E20" s="22"/>
      <c r="F20" s="22"/>
      <c r="H20" s="29" t="s">
        <v>8</v>
      </c>
      <c r="I20" s="29">
        <v>9</v>
      </c>
      <c r="J20" s="29" t="str">
        <f t="shared" si="0"/>
        <v>クレーン29</v>
      </c>
      <c r="K20" s="30" t="s">
        <v>28</v>
      </c>
      <c r="L20" s="30" t="s">
        <v>28</v>
      </c>
      <c r="M20" s="29" t="s">
        <v>38</v>
      </c>
    </row>
    <row r="21" spans="2:13" ht="15.75" customHeight="1" x14ac:dyDescent="0.25">
      <c r="B21" s="22"/>
      <c r="C21" s="22"/>
      <c r="D21" s="22"/>
      <c r="E21" s="22"/>
      <c r="F21" s="22"/>
      <c r="H21" s="22" t="s">
        <v>9</v>
      </c>
      <c r="I21" s="22">
        <v>1</v>
      </c>
      <c r="J21" s="22" t="str">
        <f t="shared" si="0"/>
        <v>クレーン31</v>
      </c>
      <c r="K21" s="28" t="s">
        <v>25</v>
      </c>
      <c r="L21" s="28" t="s">
        <v>24</v>
      </c>
      <c r="M21" s="22" t="s">
        <v>38</v>
      </c>
    </row>
    <row r="22" spans="2:13" ht="15.75" customHeight="1" x14ac:dyDescent="0.25">
      <c r="H22" s="22" t="s">
        <v>9</v>
      </c>
      <c r="I22" s="22">
        <v>2</v>
      </c>
      <c r="J22" s="22" t="str">
        <f t="shared" si="0"/>
        <v>クレーン32</v>
      </c>
      <c r="K22" s="28" t="s">
        <v>26</v>
      </c>
      <c r="L22" s="28" t="s">
        <v>26</v>
      </c>
      <c r="M22" s="22" t="s">
        <v>38</v>
      </c>
    </row>
    <row r="23" spans="2:13" ht="15.75" customHeight="1" x14ac:dyDescent="0.25">
      <c r="H23" s="22" t="s">
        <v>9</v>
      </c>
      <c r="I23" s="22">
        <v>3</v>
      </c>
      <c r="J23" s="22" t="str">
        <f t="shared" si="0"/>
        <v>クレーン33</v>
      </c>
      <c r="K23" s="28" t="s">
        <v>27</v>
      </c>
      <c r="L23" s="28" t="s">
        <v>27</v>
      </c>
      <c r="M23" s="22" t="s">
        <v>38</v>
      </c>
    </row>
    <row r="24" spans="2:13" ht="15.75" customHeight="1" x14ac:dyDescent="0.25">
      <c r="H24" s="22" t="s">
        <v>9</v>
      </c>
      <c r="I24" s="22">
        <v>4</v>
      </c>
      <c r="J24" s="22" t="str">
        <f t="shared" si="0"/>
        <v>クレーン34</v>
      </c>
      <c r="K24" s="28" t="s">
        <v>28</v>
      </c>
      <c r="L24" s="28" t="s">
        <v>28</v>
      </c>
      <c r="M24" s="22" t="s">
        <v>38</v>
      </c>
    </row>
    <row r="25" spans="2:13" ht="15.75" customHeight="1" x14ac:dyDescent="0.25">
      <c r="H25" s="22" t="s">
        <v>9</v>
      </c>
      <c r="I25" s="22">
        <v>5</v>
      </c>
      <c r="J25" s="22" t="str">
        <f t="shared" si="0"/>
        <v>クレーン35</v>
      </c>
      <c r="K25" s="28" t="s">
        <v>29</v>
      </c>
      <c r="L25" s="28" t="s">
        <v>29</v>
      </c>
      <c r="M25" s="22" t="s">
        <v>38</v>
      </c>
    </row>
    <row r="26" spans="2:13" ht="15.75" customHeight="1" x14ac:dyDescent="0.25">
      <c r="H26" s="22" t="s">
        <v>9</v>
      </c>
      <c r="I26" s="22">
        <v>6</v>
      </c>
      <c r="J26" s="22" t="str">
        <f t="shared" si="0"/>
        <v>クレーン36</v>
      </c>
      <c r="K26" s="28" t="s">
        <v>30</v>
      </c>
      <c r="L26" s="28" t="s">
        <v>30</v>
      </c>
      <c r="M26" s="22" t="s">
        <v>38</v>
      </c>
    </row>
    <row r="27" spans="2:13" ht="15.75" customHeight="1" x14ac:dyDescent="0.25">
      <c r="H27" s="22" t="s">
        <v>9</v>
      </c>
      <c r="I27" s="22">
        <v>7</v>
      </c>
      <c r="J27" s="22" t="str">
        <f t="shared" si="0"/>
        <v>クレーン37</v>
      </c>
      <c r="K27" s="28" t="s">
        <v>31</v>
      </c>
      <c r="L27" s="28" t="s">
        <v>31</v>
      </c>
      <c r="M27" s="22" t="s">
        <v>38</v>
      </c>
    </row>
    <row r="28" spans="2:13" ht="15.75" customHeight="1" x14ac:dyDescent="0.25">
      <c r="H28" s="22" t="s">
        <v>9</v>
      </c>
      <c r="I28" s="22">
        <v>8</v>
      </c>
      <c r="J28" s="22" t="str">
        <f t="shared" si="0"/>
        <v>クレーン38</v>
      </c>
      <c r="K28" s="28" t="s">
        <v>32</v>
      </c>
      <c r="L28" s="28" t="s">
        <v>32</v>
      </c>
      <c r="M28" s="22" t="s">
        <v>38</v>
      </c>
    </row>
    <row r="29" spans="2:13" ht="15.75" customHeight="1" x14ac:dyDescent="0.25">
      <c r="H29" s="22" t="s">
        <v>9</v>
      </c>
      <c r="I29" s="22">
        <v>9</v>
      </c>
      <c r="J29" s="22" t="str">
        <f t="shared" si="0"/>
        <v>クレーン39</v>
      </c>
      <c r="K29" s="28" t="s">
        <v>28</v>
      </c>
      <c r="L29" s="28" t="s">
        <v>28</v>
      </c>
      <c r="M29" s="22" t="s">
        <v>38</v>
      </c>
    </row>
    <row r="30" spans="2:13" ht="15.75" customHeight="1" x14ac:dyDescent="0.25">
      <c r="H30" s="29" t="s">
        <v>10</v>
      </c>
      <c r="I30" s="29">
        <v>1</v>
      </c>
      <c r="J30" s="29" t="str">
        <f t="shared" si="0"/>
        <v>クレーン41</v>
      </c>
      <c r="K30" s="30" t="s">
        <v>25</v>
      </c>
      <c r="L30" s="30" t="s">
        <v>24</v>
      </c>
      <c r="M30" s="29" t="s">
        <v>38</v>
      </c>
    </row>
    <row r="31" spans="2:13" ht="15.75" customHeight="1" x14ac:dyDescent="0.25">
      <c r="H31" s="29" t="s">
        <v>10</v>
      </c>
      <c r="I31" s="29">
        <v>2</v>
      </c>
      <c r="J31" s="29" t="str">
        <f t="shared" si="0"/>
        <v>クレーン42</v>
      </c>
      <c r="K31" s="30" t="s">
        <v>26</v>
      </c>
      <c r="L31" s="30" t="s">
        <v>26</v>
      </c>
      <c r="M31" s="29" t="s">
        <v>38</v>
      </c>
    </row>
    <row r="32" spans="2:13" ht="15.75" customHeight="1" x14ac:dyDescent="0.25">
      <c r="H32" s="29" t="s">
        <v>10</v>
      </c>
      <c r="I32" s="29">
        <v>3</v>
      </c>
      <c r="J32" s="29" t="str">
        <f t="shared" si="0"/>
        <v>クレーン43</v>
      </c>
      <c r="K32" s="30" t="s">
        <v>27</v>
      </c>
      <c r="L32" s="30" t="s">
        <v>27</v>
      </c>
      <c r="M32" s="29" t="s">
        <v>38</v>
      </c>
    </row>
    <row r="33" spans="8:13" ht="15.75" customHeight="1" x14ac:dyDescent="0.25">
      <c r="H33" s="29" t="s">
        <v>10</v>
      </c>
      <c r="I33" s="29">
        <v>4</v>
      </c>
      <c r="J33" s="29" t="str">
        <f t="shared" si="0"/>
        <v>クレーン44</v>
      </c>
      <c r="K33" s="30" t="s">
        <v>28</v>
      </c>
      <c r="L33" s="30" t="s">
        <v>28</v>
      </c>
      <c r="M33" s="29" t="s">
        <v>38</v>
      </c>
    </row>
    <row r="34" spans="8:13" ht="15.75" customHeight="1" x14ac:dyDescent="0.25">
      <c r="H34" s="29" t="s">
        <v>10</v>
      </c>
      <c r="I34" s="29">
        <v>5</v>
      </c>
      <c r="J34" s="29" t="str">
        <f t="shared" si="0"/>
        <v>クレーン45</v>
      </c>
      <c r="K34" s="30" t="s">
        <v>29</v>
      </c>
      <c r="L34" s="30" t="s">
        <v>29</v>
      </c>
      <c r="M34" s="29" t="s">
        <v>38</v>
      </c>
    </row>
    <row r="35" spans="8:13" ht="15.75" customHeight="1" x14ac:dyDescent="0.25">
      <c r="H35" s="29" t="s">
        <v>10</v>
      </c>
      <c r="I35" s="29">
        <v>6</v>
      </c>
      <c r="J35" s="29" t="str">
        <f t="shared" si="0"/>
        <v>クレーン46</v>
      </c>
      <c r="K35" s="30" t="s">
        <v>30</v>
      </c>
      <c r="L35" s="30" t="s">
        <v>30</v>
      </c>
      <c r="M35" s="29" t="s">
        <v>38</v>
      </c>
    </row>
    <row r="36" spans="8:13" ht="15.75" customHeight="1" x14ac:dyDescent="0.25">
      <c r="H36" s="29" t="s">
        <v>10</v>
      </c>
      <c r="I36" s="29">
        <v>7</v>
      </c>
      <c r="J36" s="29" t="str">
        <f t="shared" si="0"/>
        <v>クレーン47</v>
      </c>
      <c r="K36" s="30" t="s">
        <v>31</v>
      </c>
      <c r="L36" s="30" t="s">
        <v>31</v>
      </c>
      <c r="M36" s="29" t="s">
        <v>38</v>
      </c>
    </row>
    <row r="37" spans="8:13" ht="15.75" customHeight="1" x14ac:dyDescent="0.25">
      <c r="H37" s="29" t="s">
        <v>10</v>
      </c>
      <c r="I37" s="29">
        <v>8</v>
      </c>
      <c r="J37" s="29" t="str">
        <f t="shared" si="0"/>
        <v>クレーン48</v>
      </c>
      <c r="K37" s="30" t="s">
        <v>32</v>
      </c>
      <c r="L37" s="30" t="s">
        <v>32</v>
      </c>
      <c r="M37" s="29" t="s">
        <v>38</v>
      </c>
    </row>
    <row r="38" spans="8:13" ht="15.75" customHeight="1" x14ac:dyDescent="0.25">
      <c r="H38" s="29" t="s">
        <v>10</v>
      </c>
      <c r="I38" s="29">
        <v>9</v>
      </c>
      <c r="J38" s="29" t="str">
        <f t="shared" si="0"/>
        <v>クレーン49</v>
      </c>
      <c r="K38" s="30" t="s">
        <v>28</v>
      </c>
      <c r="L38" s="30" t="s">
        <v>28</v>
      </c>
      <c r="M38" s="29" t="s">
        <v>38</v>
      </c>
    </row>
    <row r="39" spans="8:13" ht="15.75" customHeight="1" x14ac:dyDescent="0.25">
      <c r="H39" s="22" t="s">
        <v>45</v>
      </c>
      <c r="I39" s="22">
        <v>1</v>
      </c>
      <c r="J39" s="22" t="str">
        <f t="shared" si="0"/>
        <v>エアーホイスト1</v>
      </c>
      <c r="K39" s="28" t="s">
        <v>25</v>
      </c>
      <c r="L39" s="28" t="s">
        <v>56</v>
      </c>
      <c r="M39" s="22" t="s">
        <v>38</v>
      </c>
    </row>
    <row r="40" spans="8:13" ht="15.75" customHeight="1" x14ac:dyDescent="0.25">
      <c r="H40" s="22" t="s">
        <v>45</v>
      </c>
      <c r="I40" s="22">
        <v>2</v>
      </c>
      <c r="J40" s="22" t="str">
        <f t="shared" si="0"/>
        <v>エアーホイスト2</v>
      </c>
      <c r="K40" s="28" t="s">
        <v>46</v>
      </c>
      <c r="L40" s="28" t="s">
        <v>57</v>
      </c>
      <c r="M40" s="22" t="s">
        <v>38</v>
      </c>
    </row>
    <row r="41" spans="8:13" ht="15.75" customHeight="1" x14ac:dyDescent="0.25">
      <c r="H41" s="22" t="s">
        <v>45</v>
      </c>
      <c r="I41" s="22">
        <v>3</v>
      </c>
      <c r="J41" s="22" t="str">
        <f t="shared" si="0"/>
        <v>エアーホイスト3</v>
      </c>
      <c r="K41" s="28" t="s">
        <v>47</v>
      </c>
      <c r="L41" s="28" t="s">
        <v>58</v>
      </c>
      <c r="M41" s="22" t="s">
        <v>38</v>
      </c>
    </row>
    <row r="42" spans="8:13" ht="15.75" customHeight="1" x14ac:dyDescent="0.25">
      <c r="H42" s="22" t="s">
        <v>45</v>
      </c>
      <c r="I42" s="22">
        <v>4</v>
      </c>
      <c r="J42" s="22" t="str">
        <f t="shared" si="0"/>
        <v>エアーホイスト4</v>
      </c>
      <c r="K42" s="28" t="s">
        <v>28</v>
      </c>
      <c r="L42" s="28" t="s">
        <v>55</v>
      </c>
      <c r="M42" s="22" t="s">
        <v>38</v>
      </c>
    </row>
    <row r="43" spans="8:13" ht="15.75" customHeight="1" x14ac:dyDescent="0.25">
      <c r="H43" s="22" t="s">
        <v>45</v>
      </c>
      <c r="I43" s="22">
        <v>5</v>
      </c>
      <c r="J43" s="22" t="str">
        <f t="shared" si="0"/>
        <v>エアーホイスト5</v>
      </c>
      <c r="K43" s="28" t="s">
        <v>48</v>
      </c>
      <c r="L43" s="28" t="s">
        <v>49</v>
      </c>
      <c r="M43" s="22" t="s">
        <v>38</v>
      </c>
    </row>
    <row r="44" spans="8:13" ht="15.75" customHeight="1" x14ac:dyDescent="0.25">
      <c r="H44" s="22" t="s">
        <v>45</v>
      </c>
      <c r="I44" s="22">
        <v>6</v>
      </c>
      <c r="J44" s="22" t="str">
        <f t="shared" si="0"/>
        <v>エアーホイスト6</v>
      </c>
      <c r="K44" s="28" t="s">
        <v>50</v>
      </c>
      <c r="L44" s="28" t="s">
        <v>51</v>
      </c>
      <c r="M44" s="22" t="s">
        <v>38</v>
      </c>
    </row>
    <row r="45" spans="8:13" ht="15.75" customHeight="1" x14ac:dyDescent="0.25">
      <c r="H45" s="22" t="s">
        <v>45</v>
      </c>
      <c r="I45" s="22">
        <v>7</v>
      </c>
      <c r="J45" s="22" t="str">
        <f t="shared" si="0"/>
        <v>エアーホイスト7</v>
      </c>
      <c r="K45" s="28" t="s">
        <v>52</v>
      </c>
      <c r="L45" s="28" t="s">
        <v>53</v>
      </c>
      <c r="M45" s="22" t="s">
        <v>38</v>
      </c>
    </row>
    <row r="46" spans="8:13" ht="15.75" customHeight="1" x14ac:dyDescent="0.25">
      <c r="H46" s="22" t="s">
        <v>45</v>
      </c>
      <c r="I46" s="22">
        <v>8</v>
      </c>
      <c r="J46" s="22" t="str">
        <f t="shared" si="0"/>
        <v>エアーホイスト8</v>
      </c>
      <c r="K46" s="28" t="s">
        <v>28</v>
      </c>
      <c r="L46" s="28" t="s">
        <v>54</v>
      </c>
      <c r="M46" s="22" t="s">
        <v>38</v>
      </c>
    </row>
  </sheetData>
  <mergeCells count="2">
    <mergeCell ref="B1:F1"/>
    <mergeCell ref="H1:M1"/>
  </mergeCells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8F744-7630-4586-B47E-6303CDC9CB5E}">
  <dimension ref="A1:B9"/>
  <sheetViews>
    <sheetView tabSelected="1" workbookViewId="0">
      <selection sqref="A1:B9"/>
    </sheetView>
  </sheetViews>
  <sheetFormatPr defaultRowHeight="15.75" x14ac:dyDescent="0.25"/>
  <sheetData>
    <row r="1" spans="1:2" x14ac:dyDescent="0.25">
      <c r="A1" t="s">
        <v>70</v>
      </c>
    </row>
    <row r="2" spans="1:2" x14ac:dyDescent="0.25">
      <c r="B2" t="s">
        <v>71</v>
      </c>
    </row>
    <row r="4" spans="1:2" x14ac:dyDescent="0.25">
      <c r="A4" t="s">
        <v>72</v>
      </c>
    </row>
    <row r="5" spans="1:2" x14ac:dyDescent="0.25">
      <c r="B5" t="s">
        <v>73</v>
      </c>
    </row>
    <row r="7" spans="1:2" x14ac:dyDescent="0.25">
      <c r="A7" t="s">
        <v>74</v>
      </c>
    </row>
    <row r="9" spans="1:2" x14ac:dyDescent="0.25">
      <c r="A9" t="s">
        <v>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DATA</vt:lpstr>
      <vt:lpstr>設定</vt:lpstr>
      <vt:lpstr>更新履歴</vt:lpstr>
      <vt:lpstr>休日設定列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 Naru</dc:creator>
  <cp:lastModifiedBy>san Naru</cp:lastModifiedBy>
  <cp:lastPrinted>2025-02-26T13:24:15Z</cp:lastPrinted>
  <dcterms:created xsi:type="dcterms:W3CDTF">2024-12-03T14:17:37Z</dcterms:created>
  <dcterms:modified xsi:type="dcterms:W3CDTF">2025-02-27T14:09:48Z</dcterms:modified>
</cp:coreProperties>
</file>